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mangroupltd.sharepoint.com/sites/sales/Shared Documents/01. Sales &amp; delivery assets/00. Templates/03. Project budget templates/"/>
    </mc:Choice>
  </mc:AlternateContent>
  <xr:revisionPtr revIDLastSave="39" documentId="8_{20BCCF9D-D350-4E2B-B3EC-D52365D588D7}" xr6:coauthVersionLast="47" xr6:coauthVersionMax="47" xr10:uidLastSave="{D9727B19-0EDB-43F1-BCC6-1B8AE430A171}"/>
  <bookViews>
    <workbookView xWindow="9510" yWindow="0" windowWidth="9780" windowHeight="11370" xr2:uid="{A9DACDC0-7664-4F22-AB3D-CD3A98C31C1A}"/>
  </bookViews>
  <sheets>
    <sheet name="Project Budget" sheetId="1" r:id="rId1"/>
    <sheet name="Rate Card &amp; Lookups" sheetId="2" r:id="rId2"/>
  </sheets>
  <definedNames>
    <definedName name="_xlnm._FilterDatabase" localSheetId="1" hidden="1">'Rate Card &amp; Lookups'!$O$9:$P$9</definedName>
    <definedName name="ActualNumberOfPayments" localSheetId="0">IFERROR(IF(LoanIsGood,IF(PaymentsPerYear=1,1,MATCH(0.01,End_Bal,-1)+1)),"")</definedName>
    <definedName name="ActualNumberOfPayments">IFERROR(IF(LoanIsGood,IF(PaymentsPerYear=1,1,MATCH(0.01,End_Bal,-1)+1)),"")</definedName>
    <definedName name="AS2DocOpenMode" hidden="1">"AS2DocumentEdit"</definedName>
    <definedName name="CIQWBGuid" hidden="1">"b28bde68-ee8c-423f-b87e-7c7d735ae359"</definedName>
    <definedName name="CIQWBInfo" hidden="1">"{ ""CIQVersion"":""9.45.614.5792"" }"</definedName>
    <definedName name="error.tol">#REF!</definedName>
    <definedName name="fore.start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"09/27/2022 09:30:19"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ping_AdvisoryIncome">#REF!</definedName>
    <definedName name="Mapping_AmortisationDepr">#REF!</definedName>
    <definedName name="Mapping_CostofFinace">#REF!</definedName>
    <definedName name="Mapping_CurrentAssets">#REF!</definedName>
    <definedName name="Mapping_CurrentLiabilities">#REF!</definedName>
    <definedName name="Mapping_DirectCosts">#REF!</definedName>
    <definedName name="Mapping_Equity">#REF!</definedName>
    <definedName name="Mapping_NonCurrentAssets">#REF!</definedName>
    <definedName name="Mapping_NonCurrentLiabilities">#REF!</definedName>
    <definedName name="Mapping_OPEX">#REF!</definedName>
    <definedName name="month.1">#REF!</definedName>
    <definedName name="Slicer_Quarter">#N/A</definedName>
    <definedName name="SP_EXCEL_LINK_0ba3856a0b2345cc8a56e8a691113d54" hidden="1">#REF!</definedName>
    <definedName name="SP_EXCEL_LINK_145068234be24be09e06f9825542293d" hidden="1">#REF!</definedName>
    <definedName name="SP_EXCEL_LINK_14a1bd11f1584596868683b9ff906484" hidden="1">#REF!</definedName>
    <definedName name="SP_EXCEL_LINK_2863e7d503804df5aecabc6ad3f84ad4" hidden="1">#REF!</definedName>
    <definedName name="SP_EXCEL_LINK_28d2d89369064e35a88ee734e7328738" hidden="1">#REF!</definedName>
    <definedName name="SP_EXCEL_LINK_32e2257b85e84048977058d41d3c9c1c" hidden="1">#REF!</definedName>
    <definedName name="SP_EXCEL_LINK_4a53e64d8b6946828479046e0bf08e05" hidden="1">#REF!</definedName>
    <definedName name="SP_EXCEL_LINK_4f2405a4451f47ffa1b7757b6dcf185a" hidden="1">#REF!</definedName>
    <definedName name="SP_EXCEL_LINK_53ae58bf68914236ac42fc1d7fbdcf4d" hidden="1">#REF!</definedName>
    <definedName name="SP_EXCEL_LINK_53f82965e5c944b59c853253562da41c" hidden="1">#REF!</definedName>
    <definedName name="SP_EXCEL_LINK_581bfa11ccdc466ca3ad61a7e4207847" hidden="1">#REF!</definedName>
    <definedName name="SP_EXCEL_LINK_63b25a3574e744988ce22d87187cd594" hidden="1">#REF!</definedName>
    <definedName name="SP_EXCEL_LINK_6b7ad6272f594905ac2edf050bbe9595" hidden="1">#REF!</definedName>
    <definedName name="SP_EXCEL_LINK_838616f89039454586fc79628dd54166" hidden="1">#REF!</definedName>
    <definedName name="SP_EXCEL_LINK_8857ccf434f548f3a2af56879035b530" hidden="1">#REF!</definedName>
    <definedName name="SP_EXCEL_LINK_9d92bc3bb31748c5b10200392f428850" hidden="1">#REF!</definedName>
    <definedName name="SP_EXCEL_LINK_9ed464338a764d71a931700663db8cf0" hidden="1">#REF!</definedName>
    <definedName name="SP_EXCEL_LINK_a028ce97c2134f03b634d81c706efc1e" hidden="1">#REF!</definedName>
    <definedName name="SP_EXCEL_LINK_b096aa15d9c34e4c91567332e4f7cc9b" hidden="1">#REF!</definedName>
    <definedName name="SP_EXCEL_LINK_bbd1e4f92a6243e6b8c3f6f516524253" hidden="1">#REF!</definedName>
    <definedName name="SP_EXCEL_LINK_d33f944526954f9cbdf5e8a43942e28c" hidden="1">#REF!</definedName>
    <definedName name="SP_EXCEL_LINK_d4007b22150141be9539cfddc9af4f2b" hidden="1">#REF!</definedName>
    <definedName name="SP_EXCEL_LINK_d93f2fff1bd34a959ad0e7a1504e9bd4" hidden="1">#REF!</definedName>
    <definedName name="SP_EXCEL_LINK_e37dc861ff6d46f1a551c82f34c80d68" hidden="1">#REF!</definedName>
    <definedName name="SP_EXCEL_LINK_eaf7fbe77117496d826d17b8a68729bf" hidden="1">#REF!</definedName>
    <definedName name="SP_EXCEL_LINK_f28f4936b5d54119b1d2568b188b78ef" hidden="1">#REF!</definedName>
    <definedName name="SP_EXCEL_LINK_fbfcc2bba0c14e999d51038b0f383bb9" hidden="1">#REF!</definedName>
    <definedName name="SP_EXCEL_LINK_fd77317655d74bbf81119dffc08057cc" hidden="1">#REF!</definedName>
    <definedName name="TextRefCopyRangeCount" hidden="1">1</definedName>
    <definedName name="trans.date">#REF!</definedName>
    <definedName name="US_cas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K39" i="2" s="1"/>
  <c r="A39" i="2"/>
  <c r="H39" i="2" s="1"/>
  <c r="I39" i="2" s="1"/>
  <c r="K38" i="2"/>
  <c r="I38" i="2"/>
  <c r="F38" i="2"/>
  <c r="A38" i="2"/>
  <c r="H38" i="2" s="1"/>
  <c r="E37" i="2"/>
  <c r="F37" i="2"/>
  <c r="K37" i="2" s="1"/>
  <c r="A37" i="2"/>
  <c r="H37" i="2" s="1"/>
  <c r="I37" i="2" s="1"/>
  <c r="F36" i="2"/>
  <c r="K36" i="2" s="1"/>
  <c r="A36" i="2"/>
  <c r="H36" i="2" s="1"/>
  <c r="I36" i="2" s="1"/>
  <c r="K35" i="2"/>
  <c r="H35" i="2"/>
  <c r="I35" i="2" s="1"/>
  <c r="F35" i="2"/>
  <c r="E35" i="2"/>
  <c r="J35" i="2" s="1"/>
  <c r="A35" i="2"/>
  <c r="H34" i="2"/>
  <c r="I34" i="2" s="1"/>
  <c r="F34" i="2"/>
  <c r="K34" i="2" s="1"/>
  <c r="E34" i="2"/>
  <c r="A34" i="2"/>
  <c r="F33" i="2"/>
  <c r="K33" i="2" s="1"/>
  <c r="A33" i="2"/>
  <c r="H33" i="2" s="1"/>
  <c r="I33" i="2" s="1"/>
  <c r="H32" i="2"/>
  <c r="I32" i="2" s="1"/>
  <c r="F32" i="2"/>
  <c r="K32" i="2" s="1"/>
  <c r="A32" i="2"/>
  <c r="F31" i="2"/>
  <c r="K31" i="2" s="1"/>
  <c r="A31" i="2"/>
  <c r="H31" i="2" s="1"/>
  <c r="I31" i="2" s="1"/>
  <c r="H30" i="2"/>
  <c r="F30" i="2"/>
  <c r="K30" i="2" s="1"/>
  <c r="A30" i="2"/>
  <c r="I30" i="2" s="1"/>
  <c r="K29" i="2"/>
  <c r="F29" i="2"/>
  <c r="E29" i="2"/>
  <c r="J29" i="2" s="1"/>
  <c r="A29" i="2"/>
  <c r="F28" i="2"/>
  <c r="K28" i="2" s="1"/>
  <c r="A28" i="2"/>
  <c r="K27" i="2"/>
  <c r="F27" i="2"/>
  <c r="A27" i="2"/>
  <c r="I26" i="2"/>
  <c r="F26" i="2"/>
  <c r="K26" i="2" s="1"/>
  <c r="A26" i="2"/>
  <c r="F25" i="2"/>
  <c r="K25" i="2" s="1"/>
  <c r="A25" i="2"/>
  <c r="K24" i="2"/>
  <c r="J24" i="2"/>
  <c r="I24" i="2"/>
  <c r="H24" i="2"/>
  <c r="F24" i="2"/>
  <c r="E24" i="2"/>
  <c r="A24" i="2"/>
  <c r="A23" i="2"/>
  <c r="F22" i="2"/>
  <c r="K22" i="2" s="1"/>
  <c r="A22" i="2"/>
  <c r="K21" i="2"/>
  <c r="I21" i="2"/>
  <c r="F21" i="2"/>
  <c r="E21" i="2"/>
  <c r="J21" i="2" s="1"/>
  <c r="A21" i="2"/>
  <c r="I20" i="2"/>
  <c r="F20" i="2"/>
  <c r="K20" i="2" s="1"/>
  <c r="E20" i="2"/>
  <c r="J20" i="2" s="1"/>
  <c r="A20" i="2"/>
  <c r="E19" i="2"/>
  <c r="F19" i="2"/>
  <c r="K19" i="2" s="1"/>
  <c r="A19" i="2"/>
  <c r="AE18" i="2"/>
  <c r="K18" i="2"/>
  <c r="J18" i="2"/>
  <c r="I18" i="2"/>
  <c r="F18" i="2"/>
  <c r="E18" i="2"/>
  <c r="A18" i="2"/>
  <c r="AA17" i="2"/>
  <c r="I17" i="2"/>
  <c r="F17" i="2"/>
  <c r="K17" i="2" s="1"/>
  <c r="A17" i="2"/>
  <c r="AA16" i="2"/>
  <c r="Y16" i="2"/>
  <c r="F16" i="2"/>
  <c r="K16" i="2" s="1"/>
  <c r="A16" i="2"/>
  <c r="AA15" i="2"/>
  <c r="Y15" i="2"/>
  <c r="K15" i="2"/>
  <c r="I15" i="2"/>
  <c r="J15" i="2"/>
  <c r="F15" i="2"/>
  <c r="A15" i="2"/>
  <c r="H15" i="2" s="1"/>
  <c r="AA14" i="2"/>
  <c r="Y14" i="2"/>
  <c r="J14" i="2"/>
  <c r="F14" i="2"/>
  <c r="K14" i="2" s="1"/>
  <c r="A14" i="2"/>
  <c r="AJ13" i="2"/>
  <c r="AA13" i="2"/>
  <c r="Y13" i="2"/>
  <c r="I13" i="2"/>
  <c r="A13" i="2"/>
  <c r="AA12" i="2"/>
  <c r="Y12" i="2"/>
  <c r="J12" i="2"/>
  <c r="E33" i="2"/>
  <c r="F12" i="2"/>
  <c r="K12" i="2" s="1"/>
  <c r="A12" i="2"/>
  <c r="I12" i="2" s="1"/>
  <c r="AA11" i="2"/>
  <c r="Z11" i="2"/>
  <c r="Y11" i="2"/>
  <c r="I11" i="2"/>
  <c r="F11" i="2"/>
  <c r="K11" i="2" s="1"/>
  <c r="A11" i="2"/>
  <c r="AA10" i="2"/>
  <c r="Z10" i="2"/>
  <c r="Y10" i="2"/>
  <c r="F10" i="2"/>
  <c r="K10" i="2" s="1"/>
  <c r="A10" i="2"/>
  <c r="C79" i="1"/>
  <c r="C78" i="1"/>
  <c r="C77" i="1"/>
  <c r="C76" i="1"/>
  <c r="C75" i="1"/>
  <c r="D67" i="1"/>
  <c r="C86" i="1" s="1"/>
  <c r="B64" i="1"/>
  <c r="B63" i="1"/>
  <c r="D57" i="1"/>
  <c r="K50" i="1"/>
  <c r="C80" i="1" s="1"/>
  <c r="J50" i="1"/>
  <c r="K49" i="1"/>
  <c r="J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C23" i="1"/>
  <c r="C20" i="1"/>
  <c r="I30" i="1" l="1"/>
  <c r="M30" i="1"/>
  <c r="C67" i="1"/>
  <c r="N30" i="1"/>
  <c r="O30" i="1"/>
  <c r="L30" i="1"/>
  <c r="I28" i="2"/>
  <c r="H28" i="2"/>
  <c r="J10" i="2"/>
  <c r="E31" i="2"/>
  <c r="J31" i="2" s="1"/>
  <c r="H17" i="2"/>
  <c r="I22" i="2"/>
  <c r="H22" i="2"/>
  <c r="E36" i="2"/>
  <c r="J36" i="2" s="1"/>
  <c r="H12" i="2"/>
  <c r="I14" i="2"/>
  <c r="H14" i="2"/>
  <c r="I16" i="2"/>
  <c r="H16" i="2"/>
  <c r="E22" i="2"/>
  <c r="J22" i="2" s="1"/>
  <c r="E28" i="2"/>
  <c r="J28" i="2" s="1"/>
  <c r="E39" i="2"/>
  <c r="J39" i="2" s="1"/>
  <c r="J37" i="2"/>
  <c r="J11" i="2"/>
  <c r="E32" i="2"/>
  <c r="J32" i="2" s="1"/>
  <c r="H20" i="2"/>
  <c r="I23" i="2"/>
  <c r="H23" i="2"/>
  <c r="E26" i="2"/>
  <c r="J26" i="2" s="1"/>
  <c r="H18" i="2"/>
  <c r="H19" i="2"/>
  <c r="I19" i="2"/>
  <c r="H27" i="2"/>
  <c r="I27" i="2"/>
  <c r="I25" i="2"/>
  <c r="H25" i="2"/>
  <c r="I29" i="2"/>
  <c r="H29" i="2"/>
  <c r="F23" i="2"/>
  <c r="K23" i="2" s="1"/>
  <c r="E23" i="2"/>
  <c r="J23" i="2" s="1"/>
  <c r="H11" i="2"/>
  <c r="H26" i="2"/>
  <c r="J13" i="2"/>
  <c r="F13" i="2"/>
  <c r="K13" i="2" s="1"/>
  <c r="E38" i="2"/>
  <c r="J38" i="2" s="1"/>
  <c r="J17" i="2"/>
  <c r="J16" i="2"/>
  <c r="J19" i="2"/>
  <c r="E25" i="2"/>
  <c r="J25" i="2" s="1"/>
  <c r="J33" i="2"/>
  <c r="H13" i="2"/>
  <c r="H21" i="2"/>
  <c r="H30" i="1"/>
  <c r="C57" i="1"/>
  <c r="J34" i="2"/>
  <c r="E30" i="2"/>
  <c r="J30" i="2" s="1"/>
  <c r="E27" i="2"/>
  <c r="J27" i="2" s="1"/>
  <c r="I49" i="1" l="1"/>
  <c r="N49" i="1" s="1"/>
  <c r="O49" i="1" s="1"/>
  <c r="P49" i="1" s="1"/>
  <c r="I42" i="1"/>
  <c r="N42" i="1" s="1"/>
  <c r="O42" i="1" s="1"/>
  <c r="P42" i="1" s="1"/>
  <c r="I35" i="1"/>
  <c r="I41" i="1"/>
  <c r="N41" i="1" s="1"/>
  <c r="I34" i="1"/>
  <c r="N34" i="1" s="1"/>
  <c r="I33" i="1"/>
  <c r="N33" i="1" s="1"/>
  <c r="I39" i="1"/>
  <c r="N39" i="1" s="1"/>
  <c r="I31" i="1"/>
  <c r="N31" i="1" s="1"/>
  <c r="I44" i="1"/>
  <c r="N44" i="1" s="1"/>
  <c r="I37" i="1"/>
  <c r="N37" i="1" s="1"/>
  <c r="I40" i="1"/>
  <c r="N40" i="1" s="1"/>
  <c r="I32" i="1"/>
  <c r="N32" i="1" s="1"/>
  <c r="N50" i="1" s="1"/>
  <c r="C92" i="1" s="1"/>
  <c r="I45" i="1"/>
  <c r="N45" i="1" s="1"/>
  <c r="I38" i="1"/>
  <c r="N38" i="1" s="1"/>
  <c r="I43" i="1"/>
  <c r="N43" i="1" s="1"/>
  <c r="I36" i="1"/>
  <c r="N36" i="1" s="1"/>
  <c r="I48" i="1"/>
  <c r="N48" i="1" s="1"/>
  <c r="I47" i="1"/>
  <c r="N47" i="1" s="1"/>
  <c r="I46" i="1"/>
  <c r="N46" i="1" s="1"/>
  <c r="N35" i="1"/>
  <c r="H42" i="1"/>
  <c r="L42" i="1" s="1"/>
  <c r="M42" i="1" s="1"/>
  <c r="H35" i="1"/>
  <c r="L35" i="1" s="1"/>
  <c r="M35" i="1" s="1"/>
  <c r="O35" i="1" s="1"/>
  <c r="P35" i="1" s="1"/>
  <c r="H41" i="1"/>
  <c r="L41" i="1" s="1"/>
  <c r="M41" i="1" s="1"/>
  <c r="O41" i="1" s="1"/>
  <c r="P41" i="1" s="1"/>
  <c r="H47" i="1"/>
  <c r="L47" i="1" s="1"/>
  <c r="M47" i="1" s="1"/>
  <c r="O47" i="1" s="1"/>
  <c r="P47" i="1" s="1"/>
  <c r="H33" i="1"/>
  <c r="L33" i="1" s="1"/>
  <c r="M33" i="1" s="1"/>
  <c r="H39" i="1"/>
  <c r="H45" i="1"/>
  <c r="L45" i="1" s="1"/>
  <c r="M45" i="1" s="1"/>
  <c r="O45" i="1" s="1"/>
  <c r="P45" i="1" s="1"/>
  <c r="H38" i="1"/>
  <c r="L38" i="1" s="1"/>
  <c r="M38" i="1" s="1"/>
  <c r="O38" i="1" s="1"/>
  <c r="P38" i="1" s="1"/>
  <c r="H37" i="1"/>
  <c r="L37" i="1" s="1"/>
  <c r="M37" i="1" s="1"/>
  <c r="O37" i="1" s="1"/>
  <c r="P37" i="1" s="1"/>
  <c r="H36" i="1"/>
  <c r="H49" i="1"/>
  <c r="L49" i="1" s="1"/>
  <c r="M49" i="1" s="1"/>
  <c r="H34" i="1"/>
  <c r="L34" i="1" s="1"/>
  <c r="M34" i="1" s="1"/>
  <c r="O34" i="1" s="1"/>
  <c r="P34" i="1" s="1"/>
  <c r="H40" i="1"/>
  <c r="L40" i="1" s="1"/>
  <c r="M40" i="1" s="1"/>
  <c r="O40" i="1" s="1"/>
  <c r="P40" i="1" s="1"/>
  <c r="H46" i="1"/>
  <c r="H32" i="1"/>
  <c r="H31" i="1"/>
  <c r="L31" i="1" s="1"/>
  <c r="H44" i="1"/>
  <c r="L44" i="1" s="1"/>
  <c r="M44" i="1" s="1"/>
  <c r="O44" i="1" s="1"/>
  <c r="P44" i="1" s="1"/>
  <c r="H43" i="1"/>
  <c r="H48" i="1"/>
  <c r="L48" i="1" s="1"/>
  <c r="M48" i="1" s="1"/>
  <c r="O48" i="1"/>
  <c r="P48" i="1" s="1"/>
  <c r="O33" i="1"/>
  <c r="P33" i="1" s="1"/>
  <c r="C97" i="1"/>
  <c r="C84" i="1"/>
  <c r="L32" i="1"/>
  <c r="M32" i="1" s="1"/>
  <c r="O32" i="1" s="1"/>
  <c r="P32" i="1" s="1"/>
  <c r="L36" i="1"/>
  <c r="M36" i="1" s="1"/>
  <c r="L39" i="1"/>
  <c r="M39" i="1" s="1"/>
  <c r="O39" i="1" s="1"/>
  <c r="P39" i="1" s="1"/>
  <c r="L43" i="1"/>
  <c r="M43" i="1" s="1"/>
  <c r="O43" i="1" s="1"/>
  <c r="P43" i="1" s="1"/>
  <c r="L46" i="1"/>
  <c r="M46" i="1" s="1"/>
  <c r="O46" i="1" s="1"/>
  <c r="P46" i="1" s="1"/>
  <c r="I10" i="2"/>
  <c r="H10" i="2"/>
  <c r="O36" i="1" l="1"/>
  <c r="P36" i="1" s="1"/>
  <c r="L50" i="1"/>
  <c r="M31" i="1"/>
  <c r="O31" i="1" l="1"/>
  <c r="M50" i="1"/>
  <c r="G79" i="1" l="1"/>
  <c r="G78" i="1"/>
  <c r="M51" i="1"/>
  <c r="G76" i="1"/>
  <c r="G75" i="1"/>
  <c r="C85" i="1"/>
  <c r="G77" i="1"/>
  <c r="P31" i="1"/>
  <c r="O50" i="1"/>
  <c r="P50" i="1" s="1"/>
  <c r="D80" i="1" l="1"/>
  <c r="C90" i="1"/>
  <c r="C99" i="1" s="1"/>
  <c r="C87" i="1"/>
  <c r="C88" i="1" l="1"/>
  <c r="C89" i="1" s="1"/>
  <c r="C98" i="1" s="1"/>
  <c r="C100" i="1" s="1"/>
  <c r="C102" i="1" s="1"/>
  <c r="D89" i="1" l="1"/>
  <c r="C91" i="1"/>
  <c r="C93" i="1" s="1"/>
  <c r="C94" i="1" s="1"/>
  <c r="E94" i="1" s="1"/>
</calcChain>
</file>

<file path=xl/sharedStrings.xml><?xml version="1.0" encoding="utf-8"?>
<sst xmlns="http://schemas.openxmlformats.org/spreadsheetml/2006/main" count="271" uniqueCount="159">
  <si>
    <t>JMAN Engagement Budget Calculator</t>
  </si>
  <si>
    <t>Version Mar 2025</t>
  </si>
  <si>
    <r>
      <t xml:space="preserve">Note this tool is intended for </t>
    </r>
    <r>
      <rPr>
        <b/>
        <i/>
        <sz val="9"/>
        <color theme="4"/>
        <rFont val="Arial"/>
        <family val="2"/>
      </rPr>
      <t>internal use only</t>
    </r>
    <r>
      <rPr>
        <i/>
        <sz val="9"/>
        <color theme="1"/>
        <rFont val="Arial"/>
        <family val="2"/>
      </rPr>
      <t xml:space="preserve"> for quoting purposes and should not be forwarded to any external parties.</t>
    </r>
  </si>
  <si>
    <t>0. Instructions:</t>
  </si>
  <si>
    <r>
      <t xml:space="preserve">1. </t>
    </r>
    <r>
      <rPr>
        <b/>
        <u/>
        <sz val="9"/>
        <color rgb="FF000000"/>
        <rFont val="Arial"/>
        <family val="2"/>
      </rPr>
      <t>Please make a copy of this template</t>
    </r>
    <r>
      <rPr>
        <sz val="9"/>
        <color rgb="FF000000"/>
        <rFont val="Arial"/>
        <family val="2"/>
      </rPr>
      <t xml:space="preserve"> into the Project Budget folder for your specific opportunity before making changes. </t>
    </r>
    <r>
      <rPr>
        <b/>
        <u/>
        <sz val="9"/>
        <color rgb="FF000000"/>
        <rFont val="Arial"/>
        <family val="2"/>
      </rPr>
      <t>Do NOT change anything in this template file itself</t>
    </r>
    <r>
      <rPr>
        <sz val="9"/>
        <color rgb="FF000000"/>
        <rFont val="Arial"/>
        <family val="2"/>
      </rPr>
      <t xml:space="preserve">.  </t>
    </r>
  </si>
  <si>
    <r>
      <rPr>
        <sz val="9"/>
        <color rgb="FF000000"/>
        <rFont val="Arial"/>
        <family val="2"/>
      </rPr>
      <t xml:space="preserve">2. Only fields in </t>
    </r>
    <r>
      <rPr>
        <sz val="9"/>
        <color rgb="FF0070C0"/>
        <rFont val="Arial"/>
        <family val="2"/>
      </rPr>
      <t>blue text / background are editable</t>
    </r>
    <r>
      <rPr>
        <sz val="9"/>
        <color rgb="FF000000"/>
        <rFont val="Arial"/>
        <family val="2"/>
      </rPr>
      <t>. Do NOT edit any other cells.</t>
    </r>
  </si>
  <si>
    <t>3. Add more rows for additional resources and planned cost as needed.</t>
  </si>
  <si>
    <r>
      <t xml:space="preserve">4. Once completed, please submit the Engagement Budget to </t>
    </r>
    <r>
      <rPr>
        <b/>
        <sz val="9"/>
        <color theme="4"/>
        <rFont val="Arial"/>
        <family val="2"/>
      </rPr>
      <t>scoping@jmangroup.com for approval</t>
    </r>
    <r>
      <rPr>
        <sz val="9"/>
        <rFont val="Arial"/>
        <family val="2"/>
      </rPr>
      <t>. This step is mandatory before confirming work with a client.</t>
    </r>
  </si>
  <si>
    <r>
      <t xml:space="preserve">5. For questions please contact </t>
    </r>
    <r>
      <rPr>
        <b/>
        <sz val="9"/>
        <color theme="4"/>
        <rFont val="Arial"/>
        <family val="2"/>
      </rPr>
      <t>amandavanheerden@jmangroup.com.</t>
    </r>
  </si>
  <si>
    <t>1. Engagement information</t>
  </si>
  <si>
    <t>Client code</t>
  </si>
  <si>
    <t>Please enter 3 digit JMAN client code</t>
  </si>
  <si>
    <t>Project name</t>
  </si>
  <si>
    <t>Please enter per Hubspot deal</t>
  </si>
  <si>
    <t>Engagement style</t>
  </si>
  <si>
    <t>Project</t>
  </si>
  <si>
    <t>Please select from drop-down list</t>
  </si>
  <si>
    <t>Project Type (Proposition CoE)</t>
  </si>
  <si>
    <t>Core Reporting</t>
  </si>
  <si>
    <t>Applied project type multiplier</t>
  </si>
  <si>
    <t>Client Geography</t>
  </si>
  <si>
    <t>UK</t>
  </si>
  <si>
    <t>Payment terms</t>
  </si>
  <si>
    <t>JMAN standard 
(EOM + 20 days)</t>
  </si>
  <si>
    <r>
      <t xml:space="preserve">Please select from drop-down list. </t>
    </r>
    <r>
      <rPr>
        <i/>
        <sz val="8"/>
        <color theme="4"/>
        <rFont val="Arial"/>
        <family val="2"/>
      </rPr>
      <t>Note: payment terms &gt;EOM+30 days require Finance approval and will incur a premium.</t>
    </r>
  </si>
  <si>
    <t>Effective payment term premium</t>
  </si>
  <si>
    <t>Applied to overall budget amount</t>
  </si>
  <si>
    <t>2. Resources and professional fees</t>
  </si>
  <si>
    <t xml:space="preserve">Notes for Projects:
- Charge for AP/P time (min. 12.5%)
</t>
  </si>
  <si>
    <t>Location of team member affects the cost rates.</t>
  </si>
  <si>
    <t>Charge SC/C as Engagement Manager if there is no Manager</t>
  </si>
  <si>
    <t>Specify project start and end date for calculation of # working days in column H). If start date is unknown, enter # working days in column H.</t>
  </si>
  <si>
    <t>Specify utilisation (min. 1 hr/day)</t>
  </si>
  <si>
    <t>Specify # working days (if project start date is unknown)</t>
  </si>
  <si>
    <t>- Chennai team members in consultant roles 
to be charged as AC</t>
  </si>
  <si>
    <t>Cost rate: Available days</t>
  </si>
  <si>
    <t>Role</t>
  </si>
  <si>
    <t xml:space="preserve">Location 
</t>
  </si>
  <si>
    <t>Charge as Engagement Manager?</t>
  </si>
  <si>
    <t>Start Date</t>
  </si>
  <si>
    <t>End Date</t>
  </si>
  <si>
    <t>Hours per Day</t>
  </si>
  <si>
    <t>Base Day Rate</t>
  </si>
  <si>
    <t>Cost Day Rate</t>
  </si>
  <si>
    <t>Working Days</t>
  </si>
  <si>
    <t xml:space="preserve">Allocation </t>
  </si>
  <si>
    <t>Effective Day Rate</t>
  </si>
  <si>
    <t>Total fees</t>
  </si>
  <si>
    <t>Cost</t>
  </si>
  <si>
    <t>Margin</t>
  </si>
  <si>
    <t>Margin %</t>
  </si>
  <si>
    <t>YYYY-MM-DD</t>
  </si>
  <si>
    <t>#</t>
  </si>
  <si>
    <t>%</t>
  </si>
  <si>
    <t>Consultant</t>
  </si>
  <si>
    <t>IN</t>
  </si>
  <si>
    <t>Senior Associate Consultant</t>
  </si>
  <si>
    <t>Associate Consultant</t>
  </si>
  <si>
    <t>Principal Technology Architect</t>
  </si>
  <si>
    <t>Technical Solutions Architect</t>
  </si>
  <si>
    <t>Intern Technology</t>
  </si>
  <si>
    <t>Senior Solutions Consultant</t>
  </si>
  <si>
    <t>Solutions Consultant</t>
  </si>
  <si>
    <t>USA</t>
  </si>
  <si>
    <t>Professional fees (list price)</t>
  </si>
  <si>
    <t>Weekly run-rate</t>
  </si>
  <si>
    <t>(for weekly run-rate calculation)</t>
  </si>
  <si>
    <t>Weekly run-rate (list price)</t>
  </si>
  <si>
    <t>3. Discount/Premium on professional fees</t>
  </si>
  <si>
    <t>Discount (-ve)/Premium (+ve) %</t>
  </si>
  <si>
    <t>Please enter % (-ve disc./+ve prem.)</t>
  </si>
  <si>
    <r>
      <rPr>
        <b/>
        <u/>
        <sz val="9"/>
        <rFont val="Arial"/>
        <family val="2"/>
      </rPr>
      <t>OR</t>
    </r>
    <r>
      <rPr>
        <b/>
        <sz val="9"/>
        <rFont val="Arial"/>
        <family val="2"/>
      </rPr>
      <t xml:space="preserve"> Discount/Premium amount</t>
    </r>
  </si>
  <si>
    <t>Please enter discount (-ve)/premium (+ve) amount. Please avoid rounding resulting Engagement budget to Thousands/Hundreds.</t>
  </si>
  <si>
    <t>Effective discount (-ve)/premium (+ve)value</t>
  </si>
  <si>
    <t>Discount reason</t>
  </si>
  <si>
    <t>If "Other situation" please specify</t>
  </si>
  <si>
    <t>Managed Services: apply out-of-hour surcharge?</t>
  </si>
  <si>
    <t>No</t>
  </si>
  <si>
    <t>Value of MS out-of-hour surcharge</t>
  </si>
  <si>
    <t xml:space="preserve">4. Planned cost </t>
  </si>
  <si>
    <t>Please specify any project related cost that can be quantified upfront and will be passed on to the client</t>
  </si>
  <si>
    <r>
      <rPr>
        <i/>
        <u/>
        <sz val="9"/>
        <rFont val="Arial"/>
        <family val="2"/>
      </rPr>
      <t>Examples</t>
    </r>
    <r>
      <rPr>
        <i/>
        <sz val="9"/>
        <rFont val="Arial"/>
        <family val="2"/>
      </rPr>
      <t>: software license fees (e.g. Alteryx), market research cost, travel &amp; accommodation expenses if agreed as lump sum or fixed % of professional fees</t>
    </r>
  </si>
  <si>
    <t>Cost type (please specify)</t>
  </si>
  <si>
    <t>Currency</t>
  </si>
  <si>
    <t>Fixed amount</t>
  </si>
  <si>
    <t>% of fees (incl. disc/prem)</t>
  </si>
  <si>
    <t>Amount</t>
  </si>
  <si>
    <t>Total planned cost</t>
  </si>
  <si>
    <t>5. Summary</t>
  </si>
  <si>
    <t>Detailed calculation</t>
  </si>
  <si>
    <t>Total Professional Fees (list price)</t>
  </si>
  <si>
    <t>-Discount/+Premium on professional fees</t>
  </si>
  <si>
    <t>=Professional fees incl. discount/premium</t>
  </si>
  <si>
    <t>+Long payment term surcharge</t>
  </si>
  <si>
    <t>=Fees including long-term payment surcharge</t>
  </si>
  <si>
    <t>Rounded weekly run-rate for Professional fees incl. discount/premium and long-term payment surcharge</t>
  </si>
  <si>
    <t>+Planned cost</t>
  </si>
  <si>
    <t>=Total Engagement Budget</t>
  </si>
  <si>
    <t>-Staff cost</t>
  </si>
  <si>
    <t>=Margin</t>
  </si>
  <si>
    <t>Rounded values for proposal</t>
  </si>
  <si>
    <t>Professional fees (incl. x% discount)</t>
  </si>
  <si>
    <t>Professional fees have been rounded up to the next ten GBP/USD. Do not round to 100 or 1,000, so it is visible that this is a calculated amount.</t>
  </si>
  <si>
    <t>Planned cost</t>
  </si>
  <si>
    <t>Do not round planned cost as they will be passed on to the client similar to other expenses.</t>
  </si>
  <si>
    <t>Total Engagement budget</t>
  </si>
  <si>
    <t>Total weekly run-rate</t>
  </si>
  <si>
    <t>Rate Cards</t>
  </si>
  <si>
    <t>FX rate:</t>
  </si>
  <si>
    <t>Customer Billing Country / Currency</t>
  </si>
  <si>
    <t>Cost rates</t>
  </si>
  <si>
    <t>Holidays</t>
  </si>
  <si>
    <t>Employee Location</t>
  </si>
  <si>
    <t>GBP</t>
  </si>
  <si>
    <t>USD</t>
  </si>
  <si>
    <t>EUR</t>
  </si>
  <si>
    <t>Conversion US Cust</t>
  </si>
  <si>
    <t>Conversion EU Cust</t>
  </si>
  <si>
    <t>Project Type</t>
  </si>
  <si>
    <t>Multiplier</t>
  </si>
  <si>
    <t>Customer Geography</t>
  </si>
  <si>
    <t>Billing Currency</t>
  </si>
  <si>
    <t>Discount Reason</t>
  </si>
  <si>
    <t>Discount Lower Limit</t>
  </si>
  <si>
    <t>Discount Upper Limit</t>
  </si>
  <si>
    <t>Yes/no drop down</t>
  </si>
  <si>
    <t>Premium</t>
  </si>
  <si>
    <t>Associate Partner</t>
  </si>
  <si>
    <t>Other</t>
  </si>
  <si>
    <t>Partner</t>
  </si>
  <si>
    <t>Long duration engagement (Secondments &amp; MS, guidance: 6-12 months 5%, 12+ months 10%)</t>
  </si>
  <si>
    <t>Yes</t>
  </si>
  <si>
    <t>Principal</t>
  </si>
  <si>
    <t>Secondment</t>
  </si>
  <si>
    <t>Data Advisory</t>
  </si>
  <si>
    <t>First project with new client</t>
  </si>
  <si>
    <t>EOM + 30 days</t>
  </si>
  <si>
    <t>Manager</t>
  </si>
  <si>
    <t>Managed Services</t>
  </si>
  <si>
    <t>Due Diligence</t>
  </si>
  <si>
    <t>Strategic Opportunity - New project type or High value project for JMAN</t>
  </si>
  <si>
    <t>EOM + 60 days</t>
  </si>
  <si>
    <t>Senior Consultant</t>
  </si>
  <si>
    <t>Exit Support</t>
  </si>
  <si>
    <t>Europe</t>
  </si>
  <si>
    <t>Managing price increase for existing clients</t>
  </si>
  <si>
    <t>EOM + 90 days</t>
  </si>
  <si>
    <t>Improve lagging client relationship</t>
  </si>
  <si>
    <t>Projects for charity/ pro bono projects</t>
  </si>
  <si>
    <t>Value Creation</t>
  </si>
  <si>
    <t>Other situation (please specify)</t>
  </si>
  <si>
    <t>Intern</t>
  </si>
  <si>
    <t>Effective maximum</t>
  </si>
  <si>
    <t>Partner Technology</t>
  </si>
  <si>
    <t>Associate Partner Technology</t>
  </si>
  <si>
    <t>Solutions Enabler</t>
  </si>
  <si>
    <t>Senior Software Engineer</t>
  </si>
  <si>
    <t>Software Engineer</t>
  </si>
  <si>
    <t>Managed Services out-of-hour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</si>
</sst>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_(* #,##0.0_);_(* \(#,##0.0\);_(* &quot;-&quot;?_);_(@_)"/>
    <numFmt numFmtId="166" formatCode="0.0%"/>
    <numFmt numFmtId="167" formatCode="&quot;£&quot;#,##0"/>
    <numFmt numFmtId="168" formatCode="yyyy\-mm\-dd;@"/>
    <numFmt numFmtId="169" formatCode="#,##0_ ;\-#,##0\ "/>
    <numFmt numFmtId="170" formatCode="0.0"/>
    <numFmt numFmtId="171" formatCode="#,##0.0_ ;\-#,##0.0\ "/>
    <numFmt numFmtId="172" formatCode="&quot;Min required&quot;\ 0%"/>
    <numFmt numFmtId="173" formatCode="[$$-409]#,##0.00"/>
    <numFmt numFmtId="174" formatCode="[$$-409]#,##0"/>
    <numFmt numFmtId="175" formatCode="\€#,##0"/>
  </numFmts>
  <fonts count="38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sz val="12"/>
      <color theme="1"/>
      <name val="Arial"/>
      <family val="2"/>
      <scheme val="minor"/>
    </font>
    <font>
      <sz val="9"/>
      <color theme="9" tint="-0.499984740745262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9"/>
      <color theme="0"/>
      <name val="Arial"/>
      <family val="2"/>
    </font>
    <font>
      <i/>
      <sz val="9"/>
      <color theme="1"/>
      <name val="Arial"/>
      <family val="2"/>
    </font>
    <font>
      <b/>
      <i/>
      <sz val="9"/>
      <color theme="4"/>
      <name val="Arial"/>
      <family val="2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theme="4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9"/>
      <color rgb="FF0070C0"/>
      <name val="Arial"/>
      <family val="2"/>
      <scheme val="minor"/>
    </font>
    <font>
      <i/>
      <sz val="8"/>
      <color theme="1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i/>
      <sz val="8"/>
      <color theme="4"/>
      <name val="Arial"/>
      <family val="2"/>
    </font>
    <font>
      <sz val="9"/>
      <color rgb="FF0070C0"/>
      <name val="Arial"/>
      <family val="2"/>
      <scheme val="minor"/>
    </font>
    <font>
      <b/>
      <sz val="8"/>
      <name val="Arial"/>
      <family val="2"/>
    </font>
    <font>
      <i/>
      <sz val="8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b/>
      <sz val="8"/>
      <color theme="1"/>
      <name val="Arial"/>
      <family val="2"/>
    </font>
    <font>
      <i/>
      <sz val="9"/>
      <name val="Arial"/>
      <family val="2"/>
    </font>
    <font>
      <i/>
      <u/>
      <sz val="9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  <scheme val="minor"/>
    </font>
    <font>
      <b/>
      <i/>
      <sz val="9"/>
      <color theme="1"/>
      <name val="Arial"/>
      <family val="2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9"/>
      <color theme="0" tint="-0.249977111117893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 style="dotted">
        <color indexed="64"/>
      </top>
      <bottom style="dashed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</cellStyleXfs>
  <cellXfs count="24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14" fontId="5" fillId="0" borderId="0" xfId="0" applyNumberFormat="1" applyFont="1"/>
    <xf numFmtId="0" fontId="0" fillId="3" borderId="0" xfId="0" applyFill="1"/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5" fillId="4" borderId="0" xfId="0" applyFont="1" applyFill="1"/>
    <xf numFmtId="14" fontId="9" fillId="4" borderId="0" xfId="0" applyNumberFormat="1" applyFont="1" applyFill="1"/>
    <xf numFmtId="0" fontId="6" fillId="4" borderId="0" xfId="0" applyFont="1" applyFill="1"/>
    <xf numFmtId="0" fontId="5" fillId="4" borderId="0" xfId="0" applyFont="1" applyFill="1" applyAlignment="1">
      <alignment horizontal="right"/>
    </xf>
    <xf numFmtId="14" fontId="10" fillId="0" borderId="0" xfId="0" applyNumberFormat="1" applyFont="1" applyAlignment="1">
      <alignment vertical="top"/>
    </xf>
    <xf numFmtId="14" fontId="5" fillId="0" borderId="0" xfId="0" applyNumberFormat="1" applyFont="1" applyAlignment="1">
      <alignment horizontal="right"/>
    </xf>
    <xf numFmtId="14" fontId="9" fillId="5" borderId="0" xfId="0" applyNumberFormat="1" applyFont="1" applyFill="1" applyAlignment="1">
      <alignment vertical="center"/>
    </xf>
    <xf numFmtId="0" fontId="5" fillId="5" borderId="0" xfId="0" applyFont="1" applyFill="1"/>
    <xf numFmtId="0" fontId="12" fillId="0" borderId="0" xfId="0" applyFont="1"/>
    <xf numFmtId="0" fontId="14" fillId="0" borderId="0" xfId="0" applyFont="1"/>
    <xf numFmtId="0" fontId="9" fillId="5" borderId="0" xfId="0" applyFont="1" applyFill="1" applyAlignment="1">
      <alignment vertical="center"/>
    </xf>
    <xf numFmtId="0" fontId="17" fillId="5" borderId="0" xfId="0" applyFont="1" applyFill="1"/>
    <xf numFmtId="14" fontId="18" fillId="0" borderId="1" xfId="0" applyNumberFormat="1" applyFont="1" applyBorder="1"/>
    <xf numFmtId="0" fontId="19" fillId="3" borderId="1" xfId="3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vertical="center"/>
    </xf>
    <xf numFmtId="0" fontId="19" fillId="6" borderId="1" xfId="3" applyFont="1" applyFill="1" applyBorder="1" applyAlignment="1" applyProtection="1">
      <alignment horizontal="center"/>
      <protection locked="0"/>
    </xf>
    <xf numFmtId="165" fontId="5" fillId="0" borderId="0" xfId="0" applyNumberFormat="1" applyFont="1"/>
    <xf numFmtId="14" fontId="21" fillId="4" borderId="0" xfId="0" applyNumberFormat="1" applyFont="1" applyFill="1" applyAlignment="1">
      <alignment vertical="top"/>
    </xf>
    <xf numFmtId="2" fontId="20" fillId="0" borderId="0" xfId="0" applyNumberFormat="1" applyFont="1" applyAlignment="1">
      <alignment horizontal="center" vertical="top"/>
    </xf>
    <xf numFmtId="0" fontId="22" fillId="0" borderId="0" xfId="0" applyFont="1" applyAlignment="1">
      <alignment vertical="center"/>
    </xf>
    <xf numFmtId="14" fontId="18" fillId="0" borderId="2" xfId="0" applyNumberFormat="1" applyFont="1" applyBorder="1"/>
    <xf numFmtId="0" fontId="19" fillId="6" borderId="2" xfId="3" applyFont="1" applyFill="1" applyBorder="1" applyAlignment="1" applyProtection="1">
      <alignment horizontal="center"/>
      <protection locked="0"/>
    </xf>
    <xf numFmtId="14" fontId="18" fillId="0" borderId="2" xfId="0" applyNumberFormat="1" applyFont="1" applyBorder="1" applyAlignment="1">
      <alignment vertical="center"/>
    </xf>
    <xf numFmtId="0" fontId="19" fillId="6" borderId="2" xfId="3" applyFont="1" applyFill="1" applyBorder="1" applyAlignment="1" applyProtection="1">
      <alignment horizontal="center" vertical="center" wrapText="1"/>
      <protection locked="0"/>
    </xf>
    <xf numFmtId="14" fontId="21" fillId="4" borderId="0" xfId="0" applyNumberFormat="1" applyFont="1" applyFill="1" applyAlignment="1">
      <alignment vertical="center"/>
    </xf>
    <xf numFmtId="166" fontId="20" fillId="0" borderId="0" xfId="2" applyNumberFormat="1" applyFont="1" applyAlignment="1">
      <alignment horizontal="center" vertical="center"/>
    </xf>
    <xf numFmtId="14" fontId="18" fillId="4" borderId="0" xfId="0" applyNumberFormat="1" applyFont="1" applyFill="1"/>
    <xf numFmtId="9" fontId="24" fillId="4" borderId="0" xfId="2" applyFont="1" applyFill="1" applyBorder="1" applyAlignment="1">
      <alignment horizontal="center"/>
    </xf>
    <xf numFmtId="0" fontId="6" fillId="5" borderId="0" xfId="0" applyFont="1" applyFill="1"/>
    <xf numFmtId="14" fontId="5" fillId="0" borderId="0" xfId="0" applyNumberFormat="1" applyFont="1" applyAlignment="1">
      <alignment horizontal="left" wrapText="1"/>
    </xf>
    <xf numFmtId="167" fontId="18" fillId="0" borderId="0" xfId="0" applyNumberFormat="1" applyFont="1" applyAlignment="1">
      <alignment horizontal="center"/>
    </xf>
    <xf numFmtId="14" fontId="20" fillId="0" borderId="0" xfId="0" quotePrefix="1" applyNumberFormat="1" applyFont="1" applyAlignment="1">
      <alignment horizontal="left" vertical="top" wrapText="1"/>
    </xf>
    <xf numFmtId="0" fontId="22" fillId="0" borderId="0" xfId="0" applyFont="1"/>
    <xf numFmtId="0" fontId="25" fillId="0" borderId="0" xfId="0" applyFont="1" applyAlignment="1">
      <alignment horizontal="right" vertical="center" wrapText="1"/>
    </xf>
    <xf numFmtId="0" fontId="26" fillId="0" borderId="0" xfId="0" applyFont="1"/>
    <xf numFmtId="0" fontId="18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wrapText="1"/>
    </xf>
    <xf numFmtId="0" fontId="25" fillId="0" borderId="7" xfId="0" applyFont="1" applyBorder="1" applyAlignment="1">
      <alignment horizontal="center" wrapText="1"/>
    </xf>
    <xf numFmtId="14" fontId="15" fillId="6" borderId="9" xfId="0" applyNumberFormat="1" applyFont="1" applyFill="1" applyBorder="1" applyProtection="1">
      <protection locked="0"/>
    </xf>
    <xf numFmtId="0" fontId="15" fillId="6" borderId="0" xfId="0" applyFont="1" applyFill="1" applyAlignment="1" applyProtection="1">
      <alignment horizontal="center"/>
      <protection locked="0"/>
    </xf>
    <xf numFmtId="168" fontId="15" fillId="6" borderId="0" xfId="0" applyNumberFormat="1" applyFont="1" applyFill="1" applyAlignment="1" applyProtection="1">
      <alignment horizontal="center"/>
      <protection locked="0"/>
    </xf>
    <xf numFmtId="169" fontId="14" fillId="0" borderId="0" xfId="1" applyNumberFormat="1" applyFont="1" applyBorder="1" applyAlignment="1">
      <alignment horizontal="right" vertical="center"/>
    </xf>
    <xf numFmtId="170" fontId="15" fillId="6" borderId="0" xfId="0" applyNumberFormat="1" applyFont="1" applyFill="1" applyAlignment="1" applyProtection="1">
      <alignment horizontal="center"/>
      <protection locked="0"/>
    </xf>
    <xf numFmtId="166" fontId="14" fillId="0" borderId="0" xfId="2" applyNumberFormat="1" applyFont="1" applyBorder="1" applyAlignment="1">
      <alignment horizontal="center"/>
    </xf>
    <xf numFmtId="169" fontId="14" fillId="0" borderId="10" xfId="1" applyNumberFormat="1" applyFont="1" applyBorder="1" applyAlignment="1">
      <alignment horizontal="right" vertical="center"/>
    </xf>
    <xf numFmtId="3" fontId="5" fillId="0" borderId="9" xfId="0" applyNumberFormat="1" applyFont="1" applyBorder="1"/>
    <xf numFmtId="3" fontId="5" fillId="0" borderId="0" xfId="0" applyNumberFormat="1" applyFont="1"/>
    <xf numFmtId="9" fontId="5" fillId="0" borderId="10" xfId="2" applyFont="1" applyBorder="1" applyAlignment="1">
      <alignment horizontal="center"/>
    </xf>
    <xf numFmtId="170" fontId="14" fillId="6" borderId="0" xfId="0" applyNumberFormat="1" applyFont="1" applyFill="1" applyAlignment="1" applyProtection="1">
      <alignment horizontal="center"/>
      <protection locked="0"/>
    </xf>
    <xf numFmtId="0" fontId="5" fillId="0" borderId="0" xfId="0" applyFont="1" applyAlignment="1">
      <alignment horizontal="left" indent="1"/>
    </xf>
    <xf numFmtId="14" fontId="15" fillId="6" borderId="7" xfId="0" applyNumberFormat="1" applyFont="1" applyFill="1" applyBorder="1" applyProtection="1">
      <protection locked="0"/>
    </xf>
    <xf numFmtId="0" fontId="15" fillId="6" borderId="3" xfId="0" applyFont="1" applyFill="1" applyBorder="1" applyAlignment="1" applyProtection="1">
      <alignment horizontal="center"/>
      <protection locked="0"/>
    </xf>
    <xf numFmtId="168" fontId="15" fillId="6" borderId="3" xfId="0" applyNumberFormat="1" applyFont="1" applyFill="1" applyBorder="1" applyAlignment="1" applyProtection="1">
      <alignment horizontal="center"/>
      <protection locked="0"/>
    </xf>
    <xf numFmtId="169" fontId="14" fillId="0" borderId="3" xfId="1" applyNumberFormat="1" applyFont="1" applyBorder="1" applyAlignment="1">
      <alignment horizontal="right" vertical="center"/>
    </xf>
    <xf numFmtId="170" fontId="14" fillId="6" borderId="3" xfId="0" applyNumberFormat="1" applyFont="1" applyFill="1" applyBorder="1" applyAlignment="1" applyProtection="1">
      <alignment horizontal="center"/>
      <protection locked="0"/>
    </xf>
    <xf numFmtId="166" fontId="14" fillId="0" borderId="3" xfId="2" applyNumberFormat="1" applyFont="1" applyBorder="1" applyAlignment="1">
      <alignment horizontal="center"/>
    </xf>
    <xf numFmtId="171" fontId="14" fillId="0" borderId="3" xfId="1" applyNumberFormat="1" applyFont="1" applyBorder="1" applyAlignment="1">
      <alignment horizontal="right" vertical="center"/>
    </xf>
    <xf numFmtId="171" fontId="14" fillId="0" borderId="8" xfId="1" applyNumberFormat="1" applyFont="1" applyBorder="1" applyAlignment="1">
      <alignment horizontal="right" vertical="center"/>
    </xf>
    <xf numFmtId="3" fontId="5" fillId="0" borderId="7" xfId="0" applyNumberFormat="1" applyFont="1" applyBorder="1"/>
    <xf numFmtId="3" fontId="5" fillId="0" borderId="3" xfId="0" applyNumberFormat="1" applyFont="1" applyBorder="1"/>
    <xf numFmtId="9" fontId="5" fillId="0" borderId="8" xfId="2" applyFont="1" applyBorder="1" applyAlignment="1">
      <alignment horizontal="center"/>
    </xf>
    <xf numFmtId="0" fontId="18" fillId="0" borderId="0" xfId="0" applyFont="1"/>
    <xf numFmtId="170" fontId="10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169" fontId="18" fillId="0" borderId="0" xfId="1" applyNumberFormat="1" applyFont="1" applyBorder="1" applyAlignment="1">
      <alignment horizontal="right" vertical="center"/>
    </xf>
    <xf numFmtId="9" fontId="27" fillId="0" borderId="0" xfId="2" applyFont="1" applyAlignment="1">
      <alignment horizontal="center"/>
    </xf>
    <xf numFmtId="14" fontId="18" fillId="0" borderId="0" xfId="0" applyNumberFormat="1" applyFont="1"/>
    <xf numFmtId="2" fontId="14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166" fontId="24" fillId="3" borderId="0" xfId="2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14" fontId="18" fillId="0" borderId="0" xfId="0" applyNumberFormat="1" applyFont="1" applyAlignment="1">
      <alignment horizontal="right"/>
    </xf>
    <xf numFmtId="3" fontId="15" fillId="6" borderId="0" xfId="0" applyNumberFormat="1" applyFont="1" applyFill="1" applyAlignment="1" applyProtection="1">
      <alignment horizontal="center"/>
      <protection locked="0"/>
    </xf>
    <xf numFmtId="0" fontId="29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4" fontId="14" fillId="0" borderId="0" xfId="0" applyNumberFormat="1" applyFont="1"/>
    <xf numFmtId="14" fontId="26" fillId="0" borderId="0" xfId="0" applyNumberFormat="1" applyFont="1"/>
    <xf numFmtId="2" fontId="26" fillId="0" borderId="0" xfId="0" applyNumberFormat="1" applyFont="1" applyAlignment="1">
      <alignment horizontal="left"/>
    </xf>
    <xf numFmtId="3" fontId="18" fillId="0" borderId="0" xfId="0" applyNumberFormat="1" applyFont="1" applyAlignment="1">
      <alignment horizontal="center"/>
    </xf>
    <xf numFmtId="0" fontId="30" fillId="0" borderId="0" xfId="0" applyFont="1"/>
    <xf numFmtId="14" fontId="18" fillId="0" borderId="1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14" fontId="15" fillId="6" borderId="0" xfId="0" applyNumberFormat="1" applyFont="1" applyFill="1" applyProtection="1">
      <protection locked="0"/>
    </xf>
    <xf numFmtId="14" fontId="32" fillId="0" borderId="0" xfId="0" applyNumberFormat="1" applyFont="1" applyAlignment="1">
      <alignment horizontal="center"/>
    </xf>
    <xf numFmtId="3" fontId="15" fillId="6" borderId="0" xfId="0" applyNumberFormat="1" applyFont="1" applyFill="1" applyAlignment="1" applyProtection="1">
      <alignment horizontal="right"/>
      <protection locked="0"/>
    </xf>
    <xf numFmtId="9" fontId="15" fillId="6" borderId="0" xfId="0" applyNumberFormat="1" applyFont="1" applyFill="1" applyAlignment="1" applyProtection="1">
      <alignment horizontal="center" vertical="center"/>
      <protection locked="0"/>
    </xf>
    <xf numFmtId="14" fontId="25" fillId="0" borderId="0" xfId="0" applyNumberFormat="1" applyFont="1" applyAlignment="1">
      <alignment horizontal="center"/>
    </xf>
    <xf numFmtId="0" fontId="27" fillId="0" borderId="0" xfId="0" applyFont="1"/>
    <xf numFmtId="0" fontId="18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horizontal="right" vertical="center"/>
    </xf>
    <xf numFmtId="0" fontId="14" fillId="0" borderId="12" xfId="0" applyFont="1" applyBorder="1"/>
    <xf numFmtId="3" fontId="14" fillId="0" borderId="12" xfId="0" applyNumberFormat="1" applyFont="1" applyBorder="1" applyAlignment="1">
      <alignment horizontal="right"/>
    </xf>
    <xf numFmtId="0" fontId="14" fillId="0" borderId="13" xfId="0" quotePrefix="1" applyFont="1" applyBorder="1"/>
    <xf numFmtId="3" fontId="14" fillId="0" borderId="13" xfId="0" applyNumberFormat="1" applyFont="1" applyBorder="1" applyAlignment="1">
      <alignment horizontal="right"/>
    </xf>
    <xf numFmtId="0" fontId="18" fillId="0" borderId="14" xfId="0" quotePrefix="1" applyFont="1" applyBorder="1"/>
    <xf numFmtId="3" fontId="18" fillId="0" borderId="14" xfId="0" applyNumberFormat="1" applyFont="1" applyBorder="1" applyAlignment="1">
      <alignment horizontal="right"/>
    </xf>
    <xf numFmtId="0" fontId="14" fillId="0" borderId="15" xfId="0" quotePrefix="1" applyFont="1" applyBorder="1"/>
    <xf numFmtId="3" fontId="14" fillId="0" borderId="15" xfId="0" applyNumberFormat="1" applyFont="1" applyBorder="1" applyAlignment="1">
      <alignment horizontal="right"/>
    </xf>
    <xf numFmtId="0" fontId="14" fillId="0" borderId="16" xfId="0" quotePrefix="1" applyFont="1" applyBorder="1"/>
    <xf numFmtId="3" fontId="14" fillId="0" borderId="16" xfId="0" applyNumberFormat="1" applyFont="1" applyBorder="1" applyAlignment="1">
      <alignment horizontal="right"/>
    </xf>
    <xf numFmtId="0" fontId="18" fillId="0" borderId="17" xfId="0" quotePrefix="1" applyFont="1" applyBorder="1"/>
    <xf numFmtId="3" fontId="18" fillId="0" borderId="17" xfId="0" applyNumberFormat="1" applyFont="1" applyBorder="1" applyAlignment="1">
      <alignment horizontal="right"/>
    </xf>
    <xf numFmtId="166" fontId="18" fillId="0" borderId="17" xfId="2" applyNumberFormat="1" applyFont="1" applyBorder="1" applyAlignment="1">
      <alignment horizontal="right"/>
    </xf>
    <xf numFmtId="172" fontId="10" fillId="0" borderId="0" xfId="2" applyNumberFormat="1" applyFont="1" applyFill="1"/>
    <xf numFmtId="0" fontId="33" fillId="0" borderId="0" xfId="0" applyFont="1" applyAlignment="1">
      <alignment horizontal="left"/>
    </xf>
    <xf numFmtId="0" fontId="18" fillId="0" borderId="0" xfId="0" quotePrefix="1" applyFont="1"/>
    <xf numFmtId="10" fontId="18" fillId="0" borderId="0" xfId="2" applyNumberFormat="1" applyFont="1" applyAlignment="1">
      <alignment horizontal="right"/>
    </xf>
    <xf numFmtId="10" fontId="5" fillId="0" borderId="0" xfId="2" applyNumberFormat="1" applyFont="1"/>
    <xf numFmtId="3" fontId="18" fillId="0" borderId="0" xfId="0" applyNumberFormat="1" applyFont="1" applyAlignment="1">
      <alignment horizontal="right"/>
    </xf>
    <xf numFmtId="0" fontId="27" fillId="8" borderId="0" xfId="0" applyFont="1" applyFill="1"/>
    <xf numFmtId="0" fontId="29" fillId="9" borderId="0" xfId="0" applyFont="1" applyFill="1" applyAlignment="1">
      <alignment horizontal="right"/>
    </xf>
    <xf numFmtId="0" fontId="5" fillId="8" borderId="0" xfId="0" applyFont="1" applyFill="1"/>
    <xf numFmtId="3" fontId="5" fillId="8" borderId="0" xfId="0" applyNumberFormat="1" applyFont="1" applyFill="1"/>
    <xf numFmtId="3" fontId="27" fillId="8" borderId="0" xfId="0" applyNumberFormat="1" applyFont="1" applyFill="1"/>
    <xf numFmtId="0" fontId="34" fillId="9" borderId="0" xfId="0" applyFont="1" applyFill="1"/>
    <xf numFmtId="3" fontId="34" fillId="9" borderId="0" xfId="0" applyNumberFormat="1" applyFont="1" applyFill="1"/>
    <xf numFmtId="0" fontId="8" fillId="5" borderId="0" xfId="0" applyFont="1" applyFill="1"/>
    <xf numFmtId="0" fontId="35" fillId="0" borderId="0" xfId="0" applyFont="1"/>
    <xf numFmtId="173" fontId="24" fillId="0" borderId="0" xfId="0" applyNumberFormat="1" applyFont="1" applyAlignment="1">
      <alignment horizontal="center" vertical="center"/>
    </xf>
    <xf numFmtId="0" fontId="35" fillId="0" borderId="0" xfId="3" applyFont="1" applyFill="1" applyBorder="1"/>
    <xf numFmtId="0" fontId="36" fillId="0" borderId="0" xfId="0" applyFont="1"/>
    <xf numFmtId="0" fontId="36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8" fillId="10" borderId="6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wrapText="1"/>
    </xf>
    <xf numFmtId="0" fontId="8" fillId="10" borderId="9" xfId="0" applyFont="1" applyFill="1" applyBorder="1" applyAlignment="1">
      <alignment horizontal="center" wrapText="1"/>
    </xf>
    <xf numFmtId="0" fontId="8" fillId="10" borderId="0" xfId="0" applyFont="1" applyFill="1" applyAlignment="1">
      <alignment horizontal="center" wrapText="1"/>
    </xf>
    <xf numFmtId="0" fontId="8" fillId="10" borderId="10" xfId="0" applyFont="1" applyFill="1" applyBorder="1" applyAlignment="1">
      <alignment horizont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6" fillId="9" borderId="0" xfId="0" applyFont="1" applyFill="1"/>
    <xf numFmtId="0" fontId="35" fillId="0" borderId="4" xfId="0" applyFont="1" applyBorder="1"/>
    <xf numFmtId="0" fontId="35" fillId="0" borderId="5" xfId="0" applyFont="1" applyBorder="1" applyAlignment="1">
      <alignment horizontal="center"/>
    </xf>
    <xf numFmtId="167" fontId="24" fillId="0" borderId="5" xfId="0" applyNumberFormat="1" applyFont="1" applyBorder="1" applyAlignment="1">
      <alignment horizontal="center"/>
    </xf>
    <xf numFmtId="174" fontId="24" fillId="0" borderId="5" xfId="0" applyNumberFormat="1" applyFont="1" applyBorder="1" applyAlignment="1">
      <alignment horizontal="center"/>
    </xf>
    <xf numFmtId="175" fontId="24" fillId="0" borderId="5" xfId="0" applyNumberFormat="1" applyFont="1" applyBorder="1" applyAlignment="1">
      <alignment horizontal="center"/>
    </xf>
    <xf numFmtId="175" fontId="24" fillId="0" borderId="6" xfId="0" applyNumberFormat="1" applyFont="1" applyBorder="1" applyAlignment="1">
      <alignment horizontal="center"/>
    </xf>
    <xf numFmtId="0" fontId="6" fillId="7" borderId="0" xfId="0" applyFont="1" applyFill="1"/>
    <xf numFmtId="0" fontId="6" fillId="0" borderId="21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35" fillId="0" borderId="20" xfId="0" applyFont="1" applyBorder="1" applyAlignment="1">
      <alignment horizontal="left"/>
    </xf>
    <xf numFmtId="14" fontId="24" fillId="0" borderId="9" xfId="0" applyNumberFormat="1" applyFont="1" applyBorder="1" applyAlignment="1">
      <alignment horizontal="center"/>
    </xf>
    <xf numFmtId="14" fontId="24" fillId="0" borderId="0" xfId="0" applyNumberFormat="1" applyFont="1" applyAlignment="1">
      <alignment horizontal="center"/>
    </xf>
    <xf numFmtId="14" fontId="24" fillId="0" borderId="10" xfId="0" applyNumberFormat="1" applyFont="1" applyBorder="1" applyAlignment="1">
      <alignment horizontal="center"/>
    </xf>
    <xf numFmtId="0" fontId="35" fillId="0" borderId="4" xfId="0" applyFont="1" applyBorder="1" applyAlignment="1">
      <alignment horizontal="left"/>
    </xf>
    <xf numFmtId="9" fontId="24" fillId="0" borderId="5" xfId="2" applyFont="1" applyFill="1" applyBorder="1" applyAlignment="1">
      <alignment horizontal="center"/>
    </xf>
    <xf numFmtId="9" fontId="24" fillId="0" borderId="6" xfId="2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4" xfId="0" applyFont="1" applyBorder="1" applyAlignment="1">
      <alignment horizontal="left" wrapText="1"/>
    </xf>
    <xf numFmtId="9" fontId="24" fillId="0" borderId="6" xfId="0" applyNumberFormat="1" applyFont="1" applyBorder="1"/>
    <xf numFmtId="0" fontId="35" fillId="0" borderId="9" xfId="0" applyFont="1" applyBorder="1"/>
    <xf numFmtId="0" fontId="35" fillId="0" borderId="0" xfId="0" applyFont="1" applyAlignment="1">
      <alignment horizontal="center"/>
    </xf>
    <xf numFmtId="167" fontId="24" fillId="0" borderId="0" xfId="0" applyNumberFormat="1" applyFont="1" applyAlignment="1">
      <alignment horizontal="center"/>
    </xf>
    <xf numFmtId="174" fontId="24" fillId="0" borderId="0" xfId="0" applyNumberFormat="1" applyFont="1" applyAlignment="1">
      <alignment horizontal="center"/>
    </xf>
    <xf numFmtId="175" fontId="24" fillId="0" borderId="0" xfId="0" applyNumberFormat="1" applyFont="1" applyAlignment="1">
      <alignment horizontal="center"/>
    </xf>
    <xf numFmtId="175" fontId="24" fillId="0" borderId="10" xfId="0" applyNumberFormat="1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35" fillId="0" borderId="21" xfId="0" applyFont="1" applyBorder="1" applyAlignment="1">
      <alignment horizontal="left"/>
    </xf>
    <xf numFmtId="0" fontId="35" fillId="0" borderId="9" xfId="0" applyFont="1" applyBorder="1" applyAlignment="1">
      <alignment horizontal="left"/>
    </xf>
    <xf numFmtId="9" fontId="24" fillId="0" borderId="0" xfId="2" applyFont="1" applyFill="1" applyBorder="1" applyAlignment="1">
      <alignment horizontal="center"/>
    </xf>
    <xf numFmtId="9" fontId="24" fillId="0" borderId="10" xfId="2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9" xfId="0" applyFont="1" applyBorder="1"/>
    <xf numFmtId="9" fontId="24" fillId="0" borderId="10" xfId="0" applyNumberFormat="1" applyFont="1" applyBorder="1"/>
    <xf numFmtId="0" fontId="24" fillId="0" borderId="0" xfId="0" applyFont="1" applyAlignment="1">
      <alignment horizontal="center"/>
    </xf>
    <xf numFmtId="10" fontId="24" fillId="0" borderId="10" xfId="0" applyNumberFormat="1" applyFont="1" applyBorder="1"/>
    <xf numFmtId="0" fontId="35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6" fillId="0" borderId="7" xfId="0" applyFont="1" applyBorder="1"/>
    <xf numFmtId="10" fontId="24" fillId="0" borderId="8" xfId="0" applyNumberFormat="1" applyFont="1" applyBorder="1"/>
    <xf numFmtId="0" fontId="35" fillId="0" borderId="7" xfId="0" applyFont="1" applyBorder="1" applyAlignment="1">
      <alignment horizontal="left"/>
    </xf>
    <xf numFmtId="0" fontId="24" fillId="0" borderId="3" xfId="0" applyFont="1" applyBorder="1"/>
    <xf numFmtId="9" fontId="24" fillId="0" borderId="8" xfId="0" applyNumberFormat="1" applyFont="1" applyBorder="1" applyAlignment="1">
      <alignment horizontal="center"/>
    </xf>
    <xf numFmtId="0" fontId="24" fillId="0" borderId="7" xfId="0" applyFont="1" applyBorder="1"/>
    <xf numFmtId="14" fontId="24" fillId="0" borderId="8" xfId="0" applyNumberFormat="1" applyFont="1" applyBorder="1" applyAlignment="1">
      <alignment horizontal="center"/>
    </xf>
    <xf numFmtId="0" fontId="35" fillId="11" borderId="4" xfId="0" applyFont="1" applyFill="1" applyBorder="1"/>
    <xf numFmtId="174" fontId="24" fillId="9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7" fillId="0" borderId="0" xfId="0" applyFont="1"/>
    <xf numFmtId="1" fontId="37" fillId="0" borderId="0" xfId="2" applyNumberFormat="1" applyFont="1" applyAlignment="1">
      <alignment horizontal="right"/>
    </xf>
    <xf numFmtId="0" fontId="35" fillId="11" borderId="7" xfId="0" applyFont="1" applyFill="1" applyBorder="1"/>
    <xf numFmtId="0" fontId="35" fillId="0" borderId="3" xfId="0" applyFont="1" applyBorder="1" applyAlignment="1">
      <alignment horizontal="center"/>
    </xf>
    <xf numFmtId="167" fontId="24" fillId="0" borderId="3" xfId="0" applyNumberFormat="1" applyFont="1" applyBorder="1" applyAlignment="1">
      <alignment horizontal="center"/>
    </xf>
    <xf numFmtId="174" fontId="24" fillId="9" borderId="3" xfId="0" applyNumberFormat="1" applyFont="1" applyFill="1" applyBorder="1" applyAlignment="1">
      <alignment horizontal="center"/>
    </xf>
    <xf numFmtId="175" fontId="24" fillId="0" borderId="3" xfId="0" applyNumberFormat="1" applyFont="1" applyBorder="1" applyAlignment="1">
      <alignment horizontal="center"/>
    </xf>
    <xf numFmtId="174" fontId="24" fillId="0" borderId="3" xfId="0" applyNumberFormat="1" applyFont="1" applyBorder="1" applyAlignment="1">
      <alignment horizontal="center"/>
    </xf>
    <xf numFmtId="175" fontId="24" fillId="0" borderId="8" xfId="0" applyNumberFormat="1" applyFont="1" applyBorder="1" applyAlignment="1">
      <alignment horizontal="center"/>
    </xf>
    <xf numFmtId="174" fontId="24" fillId="9" borderId="0" xfId="0" applyNumberFormat="1" applyFont="1" applyFill="1" applyAlignment="1">
      <alignment horizontal="center"/>
    </xf>
    <xf numFmtId="170" fontId="24" fillId="0" borderId="0" xfId="0" applyNumberFormat="1" applyFont="1" applyAlignment="1">
      <alignment horizontal="center" vertical="center"/>
    </xf>
    <xf numFmtId="0" fontId="35" fillId="0" borderId="7" xfId="0" applyFont="1" applyBorder="1"/>
    <xf numFmtId="0" fontId="35" fillId="11" borderId="9" xfId="0" applyFont="1" applyFill="1" applyBorder="1"/>
    <xf numFmtId="0" fontId="35" fillId="0" borderId="2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11" borderId="7" xfId="4" applyFont="1" applyFill="1" applyBorder="1"/>
    <xf numFmtId="0" fontId="8" fillId="5" borderId="3" xfId="0" applyFont="1" applyFill="1" applyBorder="1" applyAlignment="1">
      <alignment horizontal="center" wrapText="1"/>
    </xf>
    <xf numFmtId="9" fontId="6" fillId="0" borderId="19" xfId="0" applyNumberFormat="1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170" fontId="24" fillId="0" borderId="10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170" fontId="24" fillId="0" borderId="8" xfId="0" applyNumberFormat="1" applyFont="1" applyBorder="1" applyAlignment="1">
      <alignment horizontal="center" vertical="center"/>
    </xf>
    <xf numFmtId="14" fontId="20" fillId="0" borderId="3" xfId="0" quotePrefix="1" applyNumberFormat="1" applyFont="1" applyBorder="1" applyAlignment="1">
      <alignment horizontal="left" wrapText="1"/>
    </xf>
    <xf numFmtId="0" fontId="8" fillId="5" borderId="0" xfId="0" applyFont="1" applyFill="1" applyAlignment="1">
      <alignment horizontal="center" wrapText="1"/>
    </xf>
    <xf numFmtId="0" fontId="8" fillId="10" borderId="4" xfId="0" applyFont="1" applyFill="1" applyBorder="1" applyAlignment="1">
      <alignment horizontal="center" wrapText="1"/>
    </xf>
    <xf numFmtId="0" fontId="8" fillId="10" borderId="5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2" fontId="15" fillId="6" borderId="0" xfId="0" applyNumberFormat="1" applyFont="1" applyFill="1" applyAlignment="1" applyProtection="1">
      <alignment horizontal="left"/>
      <protection locked="0"/>
    </xf>
    <xf numFmtId="0" fontId="15" fillId="6" borderId="0" xfId="0" applyFont="1" applyFill="1" applyAlignment="1" applyProtection="1">
      <alignment horizontal="left"/>
      <protection locked="0"/>
    </xf>
    <xf numFmtId="14" fontId="20" fillId="0" borderId="0" xfId="0" quotePrefix="1" applyNumberFormat="1" applyFont="1" applyAlignment="1">
      <alignment horizontal="center" wrapText="1"/>
    </xf>
    <xf numFmtId="14" fontId="20" fillId="0" borderId="3" xfId="0" quotePrefix="1" applyNumberFormat="1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18" fillId="0" borderId="5" xfId="0" applyFont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wrapText="1"/>
    </xf>
  </cellXfs>
  <cellStyles count="5">
    <cellStyle name="Comma" xfId="1" builtinId="3"/>
    <cellStyle name="Neutral" xfId="3" builtinId="28"/>
    <cellStyle name="Normal" xfId="0" builtinId="0"/>
    <cellStyle name="Normal 2" xfId="4" xr:uid="{E0C726AF-AF04-4168-8687-565053448268}"/>
    <cellStyle name="Per cent" xfId="2" builtinId="5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45357</xdr:colOff>
      <xdr:row>0</xdr:row>
      <xdr:rowOff>40821</xdr:rowOff>
    </xdr:from>
    <xdr:ext cx="736840" cy="338609"/>
    <xdr:pic>
      <xdr:nvPicPr>
        <xdr:cNvPr id="2" name="Picture 1">
          <a:extLst>
            <a:ext uri="{FF2B5EF4-FFF2-40B4-BE49-F238E27FC236}">
              <a16:creationId xmlns:a16="http://schemas.microsoft.com/office/drawing/2014/main" id="{7AB88C4A-3AE3-4AC9-AD84-7502F8B4E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4" t="37190" r="24380" b="39256"/>
        <a:stretch/>
      </xdr:blipFill>
      <xdr:spPr>
        <a:xfrm>
          <a:off x="45357" y="40821"/>
          <a:ext cx="736840" cy="3386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JMAN Group">
      <a:dk1>
        <a:srgbClr val="19105B"/>
      </a:dk1>
      <a:lt1>
        <a:srgbClr val="FFFFFF"/>
      </a:lt1>
      <a:dk2>
        <a:srgbClr val="3411A3"/>
      </a:dk2>
      <a:lt2>
        <a:srgbClr val="FFFFFF"/>
      </a:lt2>
      <a:accent1>
        <a:srgbClr val="FF6196"/>
      </a:accent1>
      <a:accent2>
        <a:srgbClr val="71EAE1"/>
      </a:accent2>
      <a:accent3>
        <a:srgbClr val="A16BDB"/>
      </a:accent3>
      <a:accent4>
        <a:srgbClr val="3411A3"/>
      </a:accent4>
      <a:accent5>
        <a:srgbClr val="C6F7F3"/>
      </a:accent5>
      <a:accent6>
        <a:srgbClr val="FFC0D5"/>
      </a:accent6>
      <a:hlink>
        <a:srgbClr val="A16BDB"/>
      </a:hlink>
      <a:folHlink>
        <a:srgbClr val="3411A3"/>
      </a:folHlink>
    </a:clrScheme>
    <a:fontScheme name="JMA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92BA-4EB7-44F8-8944-AF8F682CBEA0}">
  <sheetPr>
    <tabColor theme="7" tint="0.59999389629810485"/>
  </sheetPr>
  <dimension ref="A1:Y102"/>
  <sheetViews>
    <sheetView showGridLines="0" tabSelected="1" zoomScale="90" zoomScaleNormal="90" workbookViewId="0">
      <selection activeCell="C22" sqref="C22"/>
    </sheetView>
  </sheetViews>
  <sheetFormatPr defaultColWidth="7.07421875" defaultRowHeight="13.15" customHeight="1" x14ac:dyDescent="0.25"/>
  <cols>
    <col min="1" max="1" width="1.69140625" style="2" customWidth="1"/>
    <col min="2" max="2" width="27.765625" style="2" customWidth="1"/>
    <col min="3" max="3" width="13.84375" style="2" customWidth="1"/>
    <col min="4" max="4" width="12.4609375" style="2" customWidth="1"/>
    <col min="5" max="6" width="14.4609375" style="2" customWidth="1"/>
    <col min="7" max="7" width="10.53515625" style="2" customWidth="1"/>
    <col min="8" max="8" width="8" style="2" customWidth="1"/>
    <col min="9" max="9" width="8.23046875" style="2" customWidth="1"/>
    <col min="10" max="10" width="12.69140625" style="2" customWidth="1"/>
    <col min="11" max="11" width="11.07421875" style="2" customWidth="1"/>
    <col min="12" max="13" width="10.07421875" style="2" customWidth="1"/>
    <col min="14" max="14" width="7.84375" style="2" customWidth="1"/>
    <col min="15" max="15" width="8.23046875" style="2" customWidth="1"/>
    <col min="16" max="16" width="7.84375" style="4" customWidth="1"/>
    <col min="17" max="17" width="3" style="5" customWidth="1"/>
    <col min="18" max="18" width="21.23046875" style="5" customWidth="1"/>
    <col min="19" max="19" width="22" style="2" customWidth="1"/>
    <col min="20" max="20" width="18.69140625" style="2" bestFit="1" customWidth="1"/>
    <col min="21" max="21" width="3.3046875" style="2" customWidth="1"/>
    <col min="22" max="23" width="16.07421875" style="6" customWidth="1"/>
    <col min="24" max="16384" width="7.07421875" style="2"/>
  </cols>
  <sheetData>
    <row r="1" spans="1:23" ht="30.75" customHeight="1" x14ac:dyDescent="0.25">
      <c r="A1" s="1"/>
      <c r="E1" s="3"/>
    </row>
    <row r="2" spans="1:23" customFormat="1" ht="19.5" customHeight="1" x14ac:dyDescent="0.35">
      <c r="A2" s="7"/>
      <c r="B2" s="8" t="s">
        <v>0</v>
      </c>
      <c r="C2" s="7"/>
      <c r="D2" s="7"/>
      <c r="E2" s="7"/>
      <c r="F2" s="7"/>
      <c r="G2" s="7"/>
      <c r="H2" s="7"/>
      <c r="I2" s="7"/>
      <c r="J2" s="9"/>
      <c r="K2" s="7"/>
      <c r="L2" s="10" t="s">
        <v>1</v>
      </c>
    </row>
    <row r="3" spans="1:23" s="11" customFormat="1" ht="3.75" customHeight="1" x14ac:dyDescent="0.25">
      <c r="B3" s="12"/>
      <c r="F3" s="2"/>
      <c r="G3" s="2"/>
      <c r="J3" s="13"/>
      <c r="P3" s="14"/>
      <c r="Q3" s="13"/>
      <c r="R3" s="13"/>
    </row>
    <row r="4" spans="1:23" ht="13.15" customHeight="1" x14ac:dyDescent="0.25">
      <c r="B4" s="15" t="s">
        <v>2</v>
      </c>
      <c r="J4" s="5"/>
      <c r="K4" s="5"/>
      <c r="P4" s="16"/>
      <c r="Q4" s="6"/>
      <c r="R4" s="2"/>
      <c r="V4" s="2"/>
      <c r="W4" s="2"/>
    </row>
    <row r="5" spans="1:23" ht="4.5" customHeight="1" x14ac:dyDescent="0.25">
      <c r="B5" s="6"/>
      <c r="J5" s="5"/>
      <c r="K5" s="5"/>
      <c r="P5" s="16"/>
      <c r="Q5" s="6"/>
      <c r="R5" s="2"/>
      <c r="V5" s="2"/>
      <c r="W5" s="2"/>
    </row>
    <row r="6" spans="1:23" ht="13.15" customHeight="1" x14ac:dyDescent="0.25">
      <c r="B6" s="17" t="s">
        <v>3</v>
      </c>
      <c r="C6" s="18"/>
      <c r="J6" s="5"/>
      <c r="V6" s="2"/>
      <c r="W6" s="2"/>
    </row>
    <row r="7" spans="1:23" s="11" customFormat="1" ht="3.75" customHeight="1" x14ac:dyDescent="0.25">
      <c r="B7" s="12"/>
      <c r="F7" s="2"/>
      <c r="G7" s="2"/>
      <c r="J7" s="13"/>
      <c r="P7" s="14"/>
      <c r="Q7" s="13"/>
      <c r="R7" s="13"/>
    </row>
    <row r="8" spans="1:23" ht="13.15" customHeight="1" x14ac:dyDescent="0.25">
      <c r="B8" s="19" t="s">
        <v>4</v>
      </c>
      <c r="J8" s="5"/>
      <c r="V8" s="2"/>
      <c r="W8" s="2"/>
    </row>
    <row r="9" spans="1:23" ht="13.15" customHeight="1" x14ac:dyDescent="0.25">
      <c r="B9" s="20" t="s">
        <v>5</v>
      </c>
      <c r="J9" s="5"/>
      <c r="V9" s="2"/>
      <c r="W9" s="2"/>
    </row>
    <row r="10" spans="1:23" ht="13.15" customHeight="1" x14ac:dyDescent="0.25">
      <c r="B10" s="20" t="s">
        <v>6</v>
      </c>
      <c r="J10" s="5"/>
      <c r="V10" s="2"/>
      <c r="W10" s="2"/>
    </row>
    <row r="11" spans="1:23" ht="13.15" customHeight="1" x14ac:dyDescent="0.25">
      <c r="B11" s="20" t="s">
        <v>7</v>
      </c>
      <c r="J11" s="5"/>
      <c r="V11" s="2"/>
      <c r="W11" s="2"/>
    </row>
    <row r="12" spans="1:23" ht="13.15" customHeight="1" x14ac:dyDescent="0.25">
      <c r="B12" s="2" t="s">
        <v>8</v>
      </c>
      <c r="J12" s="5"/>
      <c r="V12" s="2"/>
      <c r="W12" s="2"/>
    </row>
    <row r="13" spans="1:23" ht="7.9" customHeight="1" x14ac:dyDescent="0.25">
      <c r="B13" s="20"/>
      <c r="J13" s="5"/>
      <c r="V13" s="2"/>
      <c r="W13" s="2"/>
    </row>
    <row r="14" spans="1:23" ht="13.15" customHeight="1" x14ac:dyDescent="0.25">
      <c r="B14" s="21" t="s">
        <v>9</v>
      </c>
      <c r="C14" s="22"/>
      <c r="J14" s="5"/>
      <c r="V14" s="2"/>
      <c r="W14" s="2"/>
    </row>
    <row r="15" spans="1:23" ht="3.4" customHeight="1" x14ac:dyDescent="0.25">
      <c r="J15" s="5"/>
      <c r="V15" s="2"/>
      <c r="W15" s="2"/>
    </row>
    <row r="16" spans="1:23" ht="13.15" customHeight="1" x14ac:dyDescent="0.25">
      <c r="B16" s="23" t="s">
        <v>10</v>
      </c>
      <c r="C16" s="24"/>
      <c r="D16" s="25" t="s">
        <v>11</v>
      </c>
      <c r="J16" s="5"/>
      <c r="V16" s="2"/>
      <c r="W16" s="2"/>
    </row>
    <row r="17" spans="2:23" ht="13.15" customHeight="1" x14ac:dyDescent="0.25">
      <c r="B17" s="23" t="s">
        <v>12</v>
      </c>
      <c r="C17" s="26"/>
      <c r="D17" s="25" t="s">
        <v>13</v>
      </c>
      <c r="J17" s="5"/>
      <c r="V17" s="2"/>
      <c r="W17" s="2"/>
    </row>
    <row r="18" spans="2:23" ht="13.15" customHeight="1" x14ac:dyDescent="0.25">
      <c r="B18" s="23" t="s">
        <v>14</v>
      </c>
      <c r="C18" s="26" t="s">
        <v>15</v>
      </c>
      <c r="D18" s="25" t="s">
        <v>16</v>
      </c>
      <c r="J18" s="5"/>
      <c r="V18" s="2"/>
      <c r="W18" s="2"/>
    </row>
    <row r="19" spans="2:23" ht="13.15" customHeight="1" x14ac:dyDescent="0.25">
      <c r="B19" s="23" t="s">
        <v>17</v>
      </c>
      <c r="C19" s="26" t="s">
        <v>18</v>
      </c>
      <c r="D19" s="25" t="s">
        <v>16</v>
      </c>
      <c r="E19" s="27"/>
      <c r="J19" s="5"/>
      <c r="V19" s="2"/>
      <c r="W19" s="2"/>
    </row>
    <row r="20" spans="2:23" ht="13.15" customHeight="1" x14ac:dyDescent="0.25">
      <c r="B20" s="28" t="s">
        <v>19</v>
      </c>
      <c r="C20" s="29">
        <f>INDEX('Rate Card &amp; Lookups'!$P$10:$P$21,MATCH('Project Budget'!$C$19,'Rate Card &amp; Lookups'!$O$10:$O$21,0))</f>
        <v>1</v>
      </c>
      <c r="D20" s="30"/>
      <c r="I20" s="5"/>
      <c r="O20" s="4"/>
      <c r="P20" s="5"/>
      <c r="R20" s="2"/>
      <c r="V20" s="2"/>
      <c r="W20" s="2"/>
    </row>
    <row r="21" spans="2:23" ht="13.15" customHeight="1" x14ac:dyDescent="0.25">
      <c r="B21" s="31" t="s">
        <v>20</v>
      </c>
      <c r="C21" s="32" t="s">
        <v>63</v>
      </c>
      <c r="D21" s="25" t="s">
        <v>16</v>
      </c>
      <c r="J21" s="5"/>
      <c r="V21" s="2"/>
      <c r="W21" s="2"/>
    </row>
    <row r="22" spans="2:23" ht="22.5" customHeight="1" x14ac:dyDescent="0.25">
      <c r="B22" s="33" t="s">
        <v>22</v>
      </c>
      <c r="C22" s="34" t="s">
        <v>23</v>
      </c>
      <c r="D22" s="25" t="s">
        <v>24</v>
      </c>
      <c r="J22" s="5"/>
      <c r="V22" s="2"/>
      <c r="W22" s="2"/>
    </row>
    <row r="23" spans="2:23" ht="13.15" customHeight="1" x14ac:dyDescent="0.25">
      <c r="B23" s="35" t="s">
        <v>25</v>
      </c>
      <c r="C23" s="36">
        <f>IF(C22="","",VLOOKUP(C22,'Rate Card &amp; Lookups'!$AI$10:$AJ$13,2,FALSE))</f>
        <v>0</v>
      </c>
      <c r="D23" s="25" t="s">
        <v>26</v>
      </c>
      <c r="I23" s="5"/>
      <c r="O23" s="4"/>
      <c r="P23" s="5"/>
      <c r="R23" s="2"/>
      <c r="V23" s="2"/>
      <c r="W23" s="2"/>
    </row>
    <row r="24" spans="2:23" ht="5.25" customHeight="1" x14ac:dyDescent="0.25">
      <c r="B24" s="37"/>
      <c r="C24" s="38"/>
      <c r="I24" s="5"/>
      <c r="O24" s="4"/>
      <c r="P24" s="5"/>
      <c r="R24" s="2"/>
      <c r="V24" s="2"/>
      <c r="W24" s="2"/>
    </row>
    <row r="25" spans="2:23" ht="13.15" customHeight="1" x14ac:dyDescent="0.25">
      <c r="B25" s="17" t="s">
        <v>27</v>
      </c>
      <c r="C25" s="18"/>
      <c r="D25" s="17"/>
      <c r="E25" s="18"/>
      <c r="F25" s="18"/>
      <c r="G25" s="18"/>
      <c r="H25" s="18"/>
      <c r="I25" s="18"/>
      <c r="J25" s="18"/>
      <c r="K25" s="39"/>
      <c r="L25" s="18"/>
      <c r="M25" s="18"/>
      <c r="N25" s="18"/>
      <c r="O25" s="18"/>
      <c r="P25" s="18"/>
      <c r="Q25" s="4"/>
      <c r="S25" s="5"/>
      <c r="V25" s="2"/>
      <c r="W25" s="2"/>
    </row>
    <row r="26" spans="2:23" ht="4.1500000000000004" customHeight="1" x14ac:dyDescent="0.25">
      <c r="B26" s="40"/>
      <c r="C26" s="40"/>
      <c r="D26" s="40"/>
      <c r="J26" s="41"/>
      <c r="K26" s="41"/>
    </row>
    <row r="27" spans="2:23" ht="25.5" customHeight="1" x14ac:dyDescent="0.25">
      <c r="B27" s="42" t="s">
        <v>28</v>
      </c>
      <c r="C27" s="236" t="s">
        <v>29</v>
      </c>
      <c r="D27" s="236" t="s">
        <v>30</v>
      </c>
      <c r="E27" s="238" t="s">
        <v>31</v>
      </c>
      <c r="F27" s="238"/>
      <c r="G27" s="238" t="s">
        <v>32</v>
      </c>
      <c r="H27" s="43"/>
      <c r="I27" s="43"/>
      <c r="J27" s="238" t="s">
        <v>33</v>
      </c>
      <c r="L27" s="5"/>
      <c r="P27" s="2"/>
      <c r="Q27" s="2"/>
      <c r="R27" s="4"/>
      <c r="S27" s="5"/>
      <c r="T27" s="5"/>
      <c r="V27" s="2"/>
      <c r="W27" s="2"/>
    </row>
    <row r="28" spans="2:23" ht="25.5" customHeight="1" x14ac:dyDescent="0.25">
      <c r="B28" s="227" t="s">
        <v>34</v>
      </c>
      <c r="C28" s="237"/>
      <c r="D28" s="237"/>
      <c r="E28" s="239"/>
      <c r="F28" s="239"/>
      <c r="G28" s="239"/>
      <c r="H28" s="44"/>
      <c r="I28" s="44"/>
      <c r="J28" s="239"/>
      <c r="L28" s="5"/>
      <c r="N28" s="45" t="s">
        <v>35</v>
      </c>
      <c r="P28" s="2"/>
      <c r="Q28" s="2"/>
      <c r="R28" s="4"/>
      <c r="S28" s="5"/>
      <c r="T28" s="5"/>
      <c r="V28" s="2"/>
      <c r="W28" s="2"/>
    </row>
    <row r="29" spans="2:23" ht="23.65" customHeight="1" x14ac:dyDescent="0.25">
      <c r="B29" s="240" t="s">
        <v>36</v>
      </c>
      <c r="C29" s="242" t="s">
        <v>37</v>
      </c>
      <c r="D29" s="242" t="s">
        <v>38</v>
      </c>
      <c r="E29" s="46" t="s">
        <v>39</v>
      </c>
      <c r="F29" s="46" t="s">
        <v>40</v>
      </c>
      <c r="G29" s="242" t="s">
        <v>41</v>
      </c>
      <c r="H29" s="46" t="s">
        <v>42</v>
      </c>
      <c r="I29" s="46" t="s">
        <v>43</v>
      </c>
      <c r="J29" s="46" t="s">
        <v>44</v>
      </c>
      <c r="K29" s="46" t="s">
        <v>45</v>
      </c>
      <c r="L29" s="46" t="s">
        <v>46</v>
      </c>
      <c r="M29" s="47" t="s">
        <v>47</v>
      </c>
      <c r="N29" s="48" t="s">
        <v>48</v>
      </c>
      <c r="O29" s="46" t="s">
        <v>49</v>
      </c>
      <c r="P29" s="47" t="s">
        <v>50</v>
      </c>
      <c r="Q29" s="2"/>
      <c r="R29" s="4"/>
      <c r="S29" s="5"/>
      <c r="T29" s="5"/>
      <c r="V29" s="2"/>
      <c r="W29" s="2"/>
    </row>
    <row r="30" spans="2:23" ht="13.15" customHeight="1" x14ac:dyDescent="0.25">
      <c r="B30" s="241"/>
      <c r="C30" s="243"/>
      <c r="D30" s="244"/>
      <c r="E30" s="49" t="s">
        <v>51</v>
      </c>
      <c r="F30" s="49" t="s">
        <v>51</v>
      </c>
      <c r="G30" s="244"/>
      <c r="H30" s="50" t="str">
        <f>K50</f>
        <v>USD</v>
      </c>
      <c r="I30" s="50" t="str">
        <f>K50</f>
        <v>USD</v>
      </c>
      <c r="J30" s="49" t="s">
        <v>52</v>
      </c>
      <c r="K30" s="49" t="s">
        <v>53</v>
      </c>
      <c r="L30" s="49" t="str">
        <f>K50</f>
        <v>USD</v>
      </c>
      <c r="M30" s="51" t="str">
        <f>K50</f>
        <v>USD</v>
      </c>
      <c r="N30" s="52" t="str">
        <f>K50</f>
        <v>USD</v>
      </c>
      <c r="O30" s="49" t="str">
        <f>K50</f>
        <v>USD</v>
      </c>
      <c r="P30" s="51"/>
      <c r="Q30" s="2"/>
      <c r="R30" s="4"/>
      <c r="S30" s="5"/>
      <c r="T30" s="5"/>
      <c r="V30" s="2"/>
      <c r="W30" s="2"/>
    </row>
    <row r="31" spans="2:23" ht="13.15" customHeight="1" x14ac:dyDescent="0.25">
      <c r="B31" s="53" t="s">
        <v>54</v>
      </c>
      <c r="C31" s="54" t="s">
        <v>55</v>
      </c>
      <c r="D31" s="54"/>
      <c r="E31" s="55"/>
      <c r="F31" s="55"/>
      <c r="G31" s="54">
        <v>8</v>
      </c>
      <c r="H31" s="56">
        <f>IF(D31="Yes",HLOOKUP($K$50,'Rate Card &amp; Lookups'!$D$9:$F$39,4,FALSE)*$C$20,_xlfn.IFNA(INDEX('Rate Card &amp; Lookups'!$D$10:$F$39,MATCH($B31&amp;C31,'Rate Card &amp; Lookups'!$A$10:$A$39,0),MATCH($H$30,'Rate Card &amp; Lookups'!$D$9:$F$9,0))*$C$20,""))</f>
        <v>682.5</v>
      </c>
      <c r="I31" s="56">
        <f>_xlfn.IFNA(INDEX('Rate Card &amp; Lookups'!$G$10:$I$39,MATCH($B31&amp;C31,'Rate Card &amp; Lookups'!$A$10:$A$39,0),MATCH($I$30,'Rate Card &amp; Lookups'!$G$9:$I$9,0)),"")</f>
        <v>91</v>
      </c>
      <c r="J31" s="57">
        <v>5</v>
      </c>
      <c r="K31" s="58">
        <f t="shared" ref="K31:K48" si="0">IF(ISBLANK(G31),"",G31/8)</f>
        <v>1</v>
      </c>
      <c r="L31" s="56">
        <f t="shared" ref="L31:L48" si="1">IFERROR(H31*K31,"")</f>
        <v>682.5</v>
      </c>
      <c r="M31" s="59">
        <f t="shared" ref="M31:M48" si="2">IFERROR(L31*J31,"")</f>
        <v>3412.5</v>
      </c>
      <c r="N31" s="60">
        <f t="shared" ref="N31:N48" si="3">IFERROR(I31*K31*J31,"")</f>
        <v>455</v>
      </c>
      <c r="O31" s="61">
        <f t="shared" ref="O31:O48" si="4">IFERROR(M31-N31,"")</f>
        <v>2957.5</v>
      </c>
      <c r="P31" s="62">
        <f t="shared" ref="P31:P50" si="5">IFERROR(O31/M31,"")</f>
        <v>0.8666666666666667</v>
      </c>
      <c r="Q31" s="2"/>
      <c r="R31" s="4"/>
      <c r="S31" s="5"/>
      <c r="T31" s="5"/>
      <c r="V31" s="2"/>
      <c r="W31" s="2"/>
    </row>
    <row r="32" spans="2:23" ht="13.15" customHeight="1" x14ac:dyDescent="0.25">
      <c r="B32" s="53" t="s">
        <v>56</v>
      </c>
      <c r="C32" s="54" t="s">
        <v>55</v>
      </c>
      <c r="D32" s="54"/>
      <c r="E32" s="55"/>
      <c r="F32" s="55"/>
      <c r="G32" s="54">
        <v>8</v>
      </c>
      <c r="H32" s="56">
        <f>IF(D32="Yes",HLOOKUP($K$50,'Rate Card &amp; Lookups'!$D$9:$F$39,4,FALSE)*$C$20,_xlfn.IFNA(INDEX('Rate Card &amp; Lookups'!$D$10:$F$39,MATCH($B32&amp;C32,'Rate Card &amp; Lookups'!$A$10:$A$39,0),MATCH($H$30,'Rate Card &amp; Lookups'!$D$9:$F$9,0))*$C$20,""))</f>
        <v>682.5</v>
      </c>
      <c r="I32" s="56">
        <f>_xlfn.IFNA(INDEX('Rate Card &amp; Lookups'!$G$10:$I$39,MATCH($B32&amp;C32,'Rate Card &amp; Lookups'!$A$10:$A$39,0),MATCH($I$30,'Rate Card &amp; Lookups'!$G$9:$I$9,0)),"")</f>
        <v>71.5</v>
      </c>
      <c r="J32" s="63">
        <v>5</v>
      </c>
      <c r="K32" s="58">
        <f t="shared" si="0"/>
        <v>1</v>
      </c>
      <c r="L32" s="56">
        <f t="shared" si="1"/>
        <v>682.5</v>
      </c>
      <c r="M32" s="59">
        <f t="shared" si="2"/>
        <v>3412.5</v>
      </c>
      <c r="N32" s="60">
        <f t="shared" si="3"/>
        <v>357.5</v>
      </c>
      <c r="O32" s="61">
        <f t="shared" si="4"/>
        <v>3055</v>
      </c>
      <c r="P32" s="62">
        <f t="shared" si="5"/>
        <v>0.89523809523809528</v>
      </c>
      <c r="Q32" s="2"/>
      <c r="R32" s="4"/>
      <c r="S32" s="5"/>
      <c r="T32" s="5"/>
      <c r="V32" s="2"/>
      <c r="W32" s="2"/>
    </row>
    <row r="33" spans="2:25" ht="13.15" customHeight="1" x14ac:dyDescent="0.25">
      <c r="B33" s="53" t="s">
        <v>57</v>
      </c>
      <c r="C33" s="54" t="s">
        <v>55</v>
      </c>
      <c r="D33" s="54"/>
      <c r="E33" s="55"/>
      <c r="F33" s="55"/>
      <c r="G33" s="54">
        <v>8</v>
      </c>
      <c r="H33" s="56">
        <f>IF(D33="Yes",HLOOKUP($K$50,'Rate Card &amp; Lookups'!$D$9:$F$39,4,FALSE)*$C$20,_xlfn.IFNA(INDEX('Rate Card &amp; Lookups'!$D$10:$F$39,MATCH($B33&amp;C33,'Rate Card &amp; Lookups'!$A$10:$A$39,0),MATCH($H$30,'Rate Card &amp; Lookups'!$D$9:$F$9,0))*$C$20,""))</f>
        <v>585</v>
      </c>
      <c r="I33" s="56">
        <f>_xlfn.IFNA(INDEX('Rate Card &amp; Lookups'!$G$10:$I$39,MATCH($B33&amp;C33,'Rate Card &amp; Lookups'!$A$10:$A$39,0),MATCH($I$30,'Rate Card &amp; Lookups'!$G$9:$I$9,0)),"")</f>
        <v>58.5</v>
      </c>
      <c r="J33" s="63">
        <v>5</v>
      </c>
      <c r="K33" s="58">
        <f t="shared" si="0"/>
        <v>1</v>
      </c>
      <c r="L33" s="56">
        <f t="shared" si="1"/>
        <v>585</v>
      </c>
      <c r="M33" s="59">
        <f t="shared" si="2"/>
        <v>2925</v>
      </c>
      <c r="N33" s="60">
        <f t="shared" si="3"/>
        <v>292.5</v>
      </c>
      <c r="O33" s="61">
        <f t="shared" si="4"/>
        <v>2632.5</v>
      </c>
      <c r="P33" s="62">
        <f t="shared" si="5"/>
        <v>0.9</v>
      </c>
      <c r="Q33" s="2"/>
      <c r="R33" s="4"/>
      <c r="S33" s="5"/>
      <c r="T33" s="5"/>
      <c r="V33" s="2"/>
      <c r="W33" s="2"/>
    </row>
    <row r="34" spans="2:25" ht="13.15" customHeight="1" x14ac:dyDescent="0.25">
      <c r="B34" s="53" t="s">
        <v>58</v>
      </c>
      <c r="C34" s="54" t="s">
        <v>55</v>
      </c>
      <c r="D34" s="54"/>
      <c r="E34" s="55"/>
      <c r="F34" s="55"/>
      <c r="G34" s="54">
        <v>8</v>
      </c>
      <c r="H34" s="56">
        <f>IF(D34="Yes",HLOOKUP($K$50,'Rate Card &amp; Lookups'!$D$9:$F$39,4,FALSE)*$C$20,_xlfn.IFNA(INDEX('Rate Card &amp; Lookups'!$D$10:$F$39,MATCH($B34&amp;C34,'Rate Card &amp; Lookups'!$A$10:$A$39,0),MATCH($H$30,'Rate Card &amp; Lookups'!$D$9:$F$9,0))*$C$20,""))</f>
        <v>845</v>
      </c>
      <c r="I34" s="56">
        <f>_xlfn.IFNA(INDEX('Rate Card &amp; Lookups'!$G$10:$I$39,MATCH($B34&amp;C34,'Rate Card &amp; Lookups'!$A$10:$A$39,0),MATCH($I$30,'Rate Card &amp; Lookups'!$G$9:$I$9,0)),"")</f>
        <v>299</v>
      </c>
      <c r="J34" s="63">
        <v>5</v>
      </c>
      <c r="K34" s="58">
        <f t="shared" si="0"/>
        <v>1</v>
      </c>
      <c r="L34" s="56">
        <f t="shared" si="1"/>
        <v>845</v>
      </c>
      <c r="M34" s="59">
        <f t="shared" si="2"/>
        <v>4225</v>
      </c>
      <c r="N34" s="60">
        <f t="shared" si="3"/>
        <v>1495</v>
      </c>
      <c r="O34" s="61">
        <f t="shared" si="4"/>
        <v>2730</v>
      </c>
      <c r="P34" s="62">
        <f t="shared" si="5"/>
        <v>0.64615384615384619</v>
      </c>
      <c r="Q34" s="2"/>
      <c r="R34" s="4"/>
      <c r="S34" s="5"/>
      <c r="T34" s="5"/>
      <c r="V34" s="2"/>
      <c r="W34" s="2"/>
    </row>
    <row r="35" spans="2:25" ht="13.15" customHeight="1" x14ac:dyDescent="0.25">
      <c r="B35" s="53" t="s">
        <v>59</v>
      </c>
      <c r="C35" s="54" t="s">
        <v>55</v>
      </c>
      <c r="D35" s="54"/>
      <c r="E35" s="55"/>
      <c r="F35" s="55"/>
      <c r="G35" s="54">
        <v>8</v>
      </c>
      <c r="H35" s="56">
        <f>IF(D35="Yes",HLOOKUP($K$50,'Rate Card &amp; Lookups'!$D$9:$F$39,4,FALSE)*$C$20,_xlfn.IFNA(INDEX('Rate Card &amp; Lookups'!$D$10:$F$39,MATCH($B35&amp;C35,'Rate Card &amp; Lookups'!$A$10:$A$39,0),MATCH($H$30,'Rate Card &amp; Lookups'!$D$9:$F$9,0))*$C$20,""))</f>
        <v>747.5</v>
      </c>
      <c r="I35" s="56">
        <f>_xlfn.IFNA(INDEX('Rate Card &amp; Lookups'!$G$10:$I$39,MATCH($B35&amp;C35,'Rate Card &amp; Lookups'!$A$10:$A$39,0),MATCH($I$30,'Rate Card &amp; Lookups'!$G$9:$I$9,0)),"")</f>
        <v>182</v>
      </c>
      <c r="J35" s="63">
        <v>5</v>
      </c>
      <c r="K35" s="58">
        <f t="shared" si="0"/>
        <v>1</v>
      </c>
      <c r="L35" s="56">
        <f t="shared" si="1"/>
        <v>747.5</v>
      </c>
      <c r="M35" s="59">
        <f t="shared" si="2"/>
        <v>3737.5</v>
      </c>
      <c r="N35" s="60">
        <f t="shared" si="3"/>
        <v>910</v>
      </c>
      <c r="O35" s="61">
        <f t="shared" si="4"/>
        <v>2827.5</v>
      </c>
      <c r="P35" s="62">
        <f t="shared" si="5"/>
        <v>0.75652173913043474</v>
      </c>
      <c r="Q35" s="2"/>
      <c r="R35" s="16"/>
      <c r="S35" s="5"/>
      <c r="V35" s="2"/>
      <c r="W35" s="2"/>
    </row>
    <row r="36" spans="2:25" ht="13.15" customHeight="1" x14ac:dyDescent="0.25">
      <c r="B36" s="53" t="s">
        <v>60</v>
      </c>
      <c r="C36" s="54" t="s">
        <v>55</v>
      </c>
      <c r="D36" s="54"/>
      <c r="E36" s="55"/>
      <c r="F36" s="55"/>
      <c r="G36" s="54">
        <v>8</v>
      </c>
      <c r="H36" s="56">
        <f>IF(D36="Yes",HLOOKUP($K$50,'Rate Card &amp; Lookups'!$D$9:$F$39,4,FALSE)*$C$20,_xlfn.IFNA(INDEX('Rate Card &amp; Lookups'!$D$10:$F$39,MATCH($B36&amp;C36,'Rate Card &amp; Lookups'!$A$10:$A$39,0),MATCH($H$30,'Rate Card &amp; Lookups'!$D$9:$F$9,0))*$C$20,""))</f>
        <v>390</v>
      </c>
      <c r="I36" s="56">
        <f>_xlfn.IFNA(INDEX('Rate Card &amp; Lookups'!$G$10:$I$39,MATCH($B36&amp;C36,'Rate Card &amp; Lookups'!$A$10:$A$39,0),MATCH($I$30,'Rate Card &amp; Lookups'!$G$9:$I$9,0)),"")</f>
        <v>26</v>
      </c>
      <c r="J36" s="63">
        <v>5</v>
      </c>
      <c r="K36" s="58">
        <f t="shared" si="0"/>
        <v>1</v>
      </c>
      <c r="L36" s="56">
        <f t="shared" si="1"/>
        <v>390</v>
      </c>
      <c r="M36" s="59">
        <f t="shared" si="2"/>
        <v>1950</v>
      </c>
      <c r="N36" s="60">
        <f t="shared" si="3"/>
        <v>130</v>
      </c>
      <c r="O36" s="61">
        <f t="shared" si="4"/>
        <v>1820</v>
      </c>
      <c r="P36" s="62">
        <f t="shared" si="5"/>
        <v>0.93333333333333335</v>
      </c>
      <c r="Q36" s="2"/>
      <c r="R36" s="4"/>
      <c r="S36" s="5"/>
      <c r="T36" s="5"/>
      <c r="V36" s="2"/>
      <c r="W36" s="2"/>
      <c r="X36" s="6"/>
      <c r="Y36" s="6"/>
    </row>
    <row r="37" spans="2:25" ht="13.15" customHeight="1" x14ac:dyDescent="0.25">
      <c r="B37" s="53" t="s">
        <v>61</v>
      </c>
      <c r="C37" s="54" t="s">
        <v>21</v>
      </c>
      <c r="D37" s="54"/>
      <c r="E37" s="55"/>
      <c r="F37" s="55"/>
      <c r="G37" s="54">
        <v>8</v>
      </c>
      <c r="H37" s="56">
        <f>IF(D37="Yes",HLOOKUP($K$50,'Rate Card &amp; Lookups'!$D$9:$F$39,4,FALSE)*$C$20,_xlfn.IFNA(INDEX('Rate Card &amp; Lookups'!$D$10:$F$39,MATCH($B37&amp;C37,'Rate Card &amp; Lookups'!$A$10:$A$39,0),MATCH($H$30,'Rate Card &amp; Lookups'!$D$9:$F$9,0))*$C$20,""))</f>
        <v>2798.25</v>
      </c>
      <c r="I37" s="56">
        <f>_xlfn.IFNA(INDEX('Rate Card &amp; Lookups'!$G$10:$I$39,MATCH($B37&amp;C37,'Rate Card &amp; Lookups'!$A$10:$A$39,0),MATCH($I$30,'Rate Card &amp; Lookups'!$G$9:$I$9,0)),"")</f>
        <v>630.5</v>
      </c>
      <c r="J37" s="63">
        <v>5</v>
      </c>
      <c r="K37" s="58">
        <f t="shared" si="0"/>
        <v>1</v>
      </c>
      <c r="L37" s="56">
        <f t="shared" si="1"/>
        <v>2798.25</v>
      </c>
      <c r="M37" s="59">
        <f t="shared" si="2"/>
        <v>13991.25</v>
      </c>
      <c r="N37" s="60">
        <f t="shared" si="3"/>
        <v>3152.5</v>
      </c>
      <c r="O37" s="61">
        <f t="shared" si="4"/>
        <v>10838.75</v>
      </c>
      <c r="P37" s="62">
        <f t="shared" si="5"/>
        <v>0.7746806039488966</v>
      </c>
      <c r="Q37" s="2"/>
      <c r="R37" s="4"/>
      <c r="S37" s="5"/>
      <c r="T37" s="5"/>
      <c r="V37" s="2"/>
      <c r="W37" s="2"/>
      <c r="X37" s="6"/>
      <c r="Y37" s="6"/>
    </row>
    <row r="38" spans="2:25" ht="13.15" customHeight="1" x14ac:dyDescent="0.25">
      <c r="B38" s="53" t="s">
        <v>62</v>
      </c>
      <c r="C38" s="54" t="s">
        <v>21</v>
      </c>
      <c r="D38" s="54"/>
      <c r="E38" s="55"/>
      <c r="F38" s="55"/>
      <c r="G38" s="54">
        <v>8</v>
      </c>
      <c r="H38" s="56">
        <f>IF(D38="Yes",HLOOKUP($K$50,'Rate Card &amp; Lookups'!$D$9:$F$39,4,FALSE)*$C$20,_xlfn.IFNA(INDEX('Rate Card &amp; Lookups'!$D$10:$F$39,MATCH($B38&amp;C38,'Rate Card &amp; Lookups'!$A$10:$A$39,0),MATCH($H$30,'Rate Card &amp; Lookups'!$D$9:$F$9,0))*$C$20,""))</f>
        <v>2457</v>
      </c>
      <c r="I38" s="56">
        <f>_xlfn.IFNA(INDEX('Rate Card &amp; Lookups'!$G$10:$I$39,MATCH($B38&amp;C38,'Rate Card &amp; Lookups'!$A$10:$A$39,0),MATCH($I$30,'Rate Card &amp; Lookups'!$G$9:$I$9,0)),"")</f>
        <v>572</v>
      </c>
      <c r="J38" s="63">
        <v>5</v>
      </c>
      <c r="K38" s="58">
        <f t="shared" si="0"/>
        <v>1</v>
      </c>
      <c r="L38" s="56">
        <f t="shared" si="1"/>
        <v>2457</v>
      </c>
      <c r="M38" s="59">
        <f t="shared" si="2"/>
        <v>12285</v>
      </c>
      <c r="N38" s="60">
        <f t="shared" si="3"/>
        <v>2860</v>
      </c>
      <c r="O38" s="61">
        <f t="shared" si="4"/>
        <v>9425</v>
      </c>
      <c r="P38" s="62">
        <f t="shared" si="5"/>
        <v>0.76719576719576721</v>
      </c>
      <c r="Q38" s="2"/>
      <c r="R38" s="4"/>
      <c r="S38" s="5"/>
      <c r="T38" s="5"/>
      <c r="V38" s="2"/>
      <c r="W38" s="2"/>
      <c r="X38" s="6"/>
      <c r="Y38" s="6"/>
    </row>
    <row r="39" spans="2:25" ht="13.15" customHeight="1" x14ac:dyDescent="0.25">
      <c r="B39" s="53" t="s">
        <v>59</v>
      </c>
      <c r="C39" s="54" t="s">
        <v>63</v>
      </c>
      <c r="D39" s="54"/>
      <c r="E39" s="55"/>
      <c r="F39" s="55"/>
      <c r="G39" s="54">
        <v>8</v>
      </c>
      <c r="H39" s="56">
        <f>IF(D39="Yes",HLOOKUP($K$50,'Rate Card &amp; Lookups'!$D$9:$F$39,4,FALSE)*$C$20,_xlfn.IFNA(INDEX('Rate Card &amp; Lookups'!$D$10:$F$39,MATCH($B39&amp;C39,'Rate Card &amp; Lookups'!$A$10:$A$39,0),MATCH($H$30,'Rate Card &amp; Lookups'!$D$9:$F$9,0))*$C$20,""))</f>
        <v>3233.75</v>
      </c>
      <c r="I39" s="56">
        <f>_xlfn.IFNA(INDEX('Rate Card &amp; Lookups'!$G$10:$I$39,MATCH($B39&amp;C39,'Rate Card &amp; Lookups'!$A$10:$A$39,0),MATCH($I$30,'Rate Card &amp; Lookups'!$G$9:$I$9,0)),"")</f>
        <v>1241.5</v>
      </c>
      <c r="J39" s="63">
        <v>5</v>
      </c>
      <c r="K39" s="58">
        <f t="shared" si="0"/>
        <v>1</v>
      </c>
      <c r="L39" s="56">
        <f t="shared" si="1"/>
        <v>3233.75</v>
      </c>
      <c r="M39" s="59">
        <f t="shared" si="2"/>
        <v>16168.75</v>
      </c>
      <c r="N39" s="60">
        <f t="shared" si="3"/>
        <v>6207.5</v>
      </c>
      <c r="O39" s="61">
        <f t="shared" si="4"/>
        <v>9961.25</v>
      </c>
      <c r="P39" s="62">
        <f t="shared" si="5"/>
        <v>0.61608040201005021</v>
      </c>
      <c r="Q39" s="2"/>
      <c r="R39" s="4"/>
      <c r="S39" s="5"/>
      <c r="T39" s="5"/>
      <c r="V39" s="2"/>
      <c r="W39" s="2"/>
      <c r="X39" s="6"/>
      <c r="Y39" s="6"/>
    </row>
    <row r="40" spans="2:25" ht="13.15" customHeight="1" x14ac:dyDescent="0.25">
      <c r="B40" s="53"/>
      <c r="C40" s="54"/>
      <c r="D40" s="54"/>
      <c r="E40" s="55"/>
      <c r="F40" s="55"/>
      <c r="G40" s="54"/>
      <c r="H40" s="56" t="str">
        <f>IF(D40="Yes",HLOOKUP($K$50,'Rate Card &amp; Lookups'!$D$9:$F$39,4,FALSE)*$C$20,_xlfn.IFNA(INDEX('Rate Card &amp; Lookups'!$D$10:$F$39,MATCH($B40&amp;C40,'Rate Card &amp; Lookups'!$A$10:$A$39,0),MATCH($H$30,'Rate Card &amp; Lookups'!$D$9:$F$9,0))*$C$20,""))</f>
        <v/>
      </c>
      <c r="I40" s="56" t="str">
        <f>_xlfn.IFNA(INDEX('Rate Card &amp; Lookups'!$G$10:$I$39,MATCH($B40&amp;C40,'Rate Card &amp; Lookups'!$A$10:$A$39,0),MATCH($I$30,'Rate Card &amp; Lookups'!$G$9:$I$9,0)),"")</f>
        <v/>
      </c>
      <c r="J40" s="63"/>
      <c r="K40" s="58" t="str">
        <f t="shared" si="0"/>
        <v/>
      </c>
      <c r="L40" s="56" t="str">
        <f t="shared" si="1"/>
        <v/>
      </c>
      <c r="M40" s="59" t="str">
        <f t="shared" si="2"/>
        <v/>
      </c>
      <c r="N40" s="60" t="str">
        <f t="shared" si="3"/>
        <v/>
      </c>
      <c r="O40" s="61" t="str">
        <f t="shared" si="4"/>
        <v/>
      </c>
      <c r="P40" s="62" t="str">
        <f t="shared" si="5"/>
        <v/>
      </c>
      <c r="Q40" s="2"/>
      <c r="R40" s="4"/>
      <c r="S40" s="5"/>
      <c r="T40" s="5"/>
      <c r="V40" s="2"/>
      <c r="W40" s="2"/>
      <c r="X40" s="6"/>
      <c r="Y40" s="6"/>
    </row>
    <row r="41" spans="2:25" ht="13.15" customHeight="1" x14ac:dyDescent="0.25">
      <c r="B41" s="53" t="s">
        <v>156</v>
      </c>
      <c r="C41" s="54" t="s">
        <v>55</v>
      </c>
      <c r="D41" s="54"/>
      <c r="E41" s="55"/>
      <c r="F41" s="55"/>
      <c r="G41" s="54">
        <v>8</v>
      </c>
      <c r="H41" s="56">
        <f>IF(D41="Yes",HLOOKUP($K$50,'Rate Card &amp; Lookups'!$D$9:$F$39,4,FALSE)*$C$20,_xlfn.IFNA(INDEX('Rate Card &amp; Lookups'!$D$10:$F$39,MATCH($B41&amp;C41,'Rate Card &amp; Lookups'!$A$10:$A$39,0),MATCH($H$30,'Rate Card &amp; Lookups'!$D$9:$F$9,0))*$C$20,""))</f>
        <v>585</v>
      </c>
      <c r="I41" s="56">
        <f>_xlfn.IFNA(INDEX('Rate Card &amp; Lookups'!$G$10:$I$39,MATCH($B41&amp;C41,'Rate Card &amp; Lookups'!$A$10:$A$39,0),MATCH($I$30,'Rate Card &amp; Lookups'!$G$9:$I$9,0)),"")</f>
        <v>58.5</v>
      </c>
      <c r="J41" s="63"/>
      <c r="K41" s="58">
        <f t="shared" si="0"/>
        <v>1</v>
      </c>
      <c r="L41" s="56">
        <f t="shared" si="1"/>
        <v>585</v>
      </c>
      <c r="M41" s="59">
        <f t="shared" si="2"/>
        <v>0</v>
      </c>
      <c r="N41" s="60">
        <f t="shared" si="3"/>
        <v>0</v>
      </c>
      <c r="O41" s="61">
        <f t="shared" si="4"/>
        <v>0</v>
      </c>
      <c r="P41" s="62" t="str">
        <f t="shared" si="5"/>
        <v/>
      </c>
      <c r="Q41" s="2"/>
      <c r="R41" s="4"/>
      <c r="S41" s="5"/>
      <c r="T41" s="5"/>
      <c r="V41" s="2"/>
      <c r="W41" s="2"/>
      <c r="X41" s="6"/>
      <c r="Y41" s="6"/>
    </row>
    <row r="42" spans="2:25" ht="13.15" customHeight="1" x14ac:dyDescent="0.25">
      <c r="B42" s="53"/>
      <c r="C42" s="54"/>
      <c r="D42" s="54"/>
      <c r="E42" s="55"/>
      <c r="F42" s="55"/>
      <c r="G42" s="54"/>
      <c r="H42" s="56" t="str">
        <f>IF(D42="Yes",HLOOKUP($K$50,'Rate Card &amp; Lookups'!$D$9:$F$39,4,FALSE)*$C$20,_xlfn.IFNA(INDEX('Rate Card &amp; Lookups'!$D$10:$F$39,MATCH($B42&amp;C42,'Rate Card &amp; Lookups'!$A$10:$A$39,0),MATCH($H$30,'Rate Card &amp; Lookups'!$D$9:$F$9,0))*$C$20,""))</f>
        <v/>
      </c>
      <c r="I42" s="56" t="str">
        <f>_xlfn.IFNA(INDEX('Rate Card &amp; Lookups'!$G$10:$I$39,MATCH($B42&amp;C42,'Rate Card &amp; Lookups'!$A$10:$A$39,0),MATCH($I$30,'Rate Card &amp; Lookups'!$G$9:$I$9,0)),"")</f>
        <v/>
      </c>
      <c r="J42" s="63"/>
      <c r="K42" s="58" t="str">
        <f t="shared" si="0"/>
        <v/>
      </c>
      <c r="L42" s="56" t="str">
        <f t="shared" si="1"/>
        <v/>
      </c>
      <c r="M42" s="59" t="str">
        <f t="shared" si="2"/>
        <v/>
      </c>
      <c r="N42" s="60" t="str">
        <f t="shared" si="3"/>
        <v/>
      </c>
      <c r="O42" s="61" t="str">
        <f t="shared" si="4"/>
        <v/>
      </c>
      <c r="P42" s="62" t="str">
        <f t="shared" si="5"/>
        <v/>
      </c>
      <c r="Q42" s="2"/>
      <c r="R42" s="4"/>
      <c r="S42" s="5"/>
      <c r="T42" s="5"/>
      <c r="V42" s="2"/>
      <c r="W42" s="2"/>
      <c r="X42" s="6"/>
      <c r="Y42" s="6"/>
    </row>
    <row r="43" spans="2:25" ht="13.15" customHeight="1" x14ac:dyDescent="0.25">
      <c r="B43" s="53"/>
      <c r="C43" s="54"/>
      <c r="D43" s="54"/>
      <c r="E43" s="55"/>
      <c r="F43" s="55"/>
      <c r="G43" s="54"/>
      <c r="H43" s="56" t="str">
        <f>IF(D43="Yes",HLOOKUP($K$50,'Rate Card &amp; Lookups'!$D$9:$F$39,4,FALSE)*$C$20,_xlfn.IFNA(INDEX('Rate Card &amp; Lookups'!$D$10:$F$39,MATCH($B43&amp;C43,'Rate Card &amp; Lookups'!$A$10:$A$39,0),MATCH($H$30,'Rate Card &amp; Lookups'!$D$9:$F$9,0))*$C$20,""))</f>
        <v/>
      </c>
      <c r="I43" s="56" t="str">
        <f>_xlfn.IFNA(INDEX('Rate Card &amp; Lookups'!$G$10:$I$39,MATCH($B43&amp;C43,'Rate Card &amp; Lookups'!$A$10:$A$39,0),MATCH($I$30,'Rate Card &amp; Lookups'!$G$9:$I$9,0)),"")</f>
        <v/>
      </c>
      <c r="J43" s="63"/>
      <c r="K43" s="58" t="str">
        <f t="shared" si="0"/>
        <v/>
      </c>
      <c r="L43" s="56" t="str">
        <f t="shared" si="1"/>
        <v/>
      </c>
      <c r="M43" s="59" t="str">
        <f t="shared" si="2"/>
        <v/>
      </c>
      <c r="N43" s="60" t="str">
        <f t="shared" si="3"/>
        <v/>
      </c>
      <c r="O43" s="61" t="str">
        <f t="shared" si="4"/>
        <v/>
      </c>
      <c r="P43" s="62" t="str">
        <f t="shared" si="5"/>
        <v/>
      </c>
      <c r="Q43" s="2"/>
      <c r="R43" s="4"/>
      <c r="S43" s="5"/>
      <c r="T43" s="5"/>
      <c r="V43" s="2"/>
      <c r="W43" s="2"/>
      <c r="X43" s="6"/>
      <c r="Y43" s="6"/>
    </row>
    <row r="44" spans="2:25" ht="13.15" customHeight="1" x14ac:dyDescent="0.25">
      <c r="B44" s="53"/>
      <c r="C44" s="54"/>
      <c r="D44" s="54"/>
      <c r="E44" s="55"/>
      <c r="F44" s="55"/>
      <c r="G44" s="54"/>
      <c r="H44" s="56" t="str">
        <f>IF(D44="Yes",HLOOKUP($K$50,'Rate Card &amp; Lookups'!$D$9:$F$39,4,FALSE)*$C$20,_xlfn.IFNA(INDEX('Rate Card &amp; Lookups'!$D$10:$F$39,MATCH($B44&amp;C44,'Rate Card &amp; Lookups'!$A$10:$A$39,0),MATCH($H$30,'Rate Card &amp; Lookups'!$D$9:$F$9,0))*$C$20,""))</f>
        <v/>
      </c>
      <c r="I44" s="56" t="str">
        <f>_xlfn.IFNA(INDEX('Rate Card &amp; Lookups'!$G$10:$I$39,MATCH($B44&amp;C44,'Rate Card &amp; Lookups'!$A$10:$A$39,0),MATCH($I$30,'Rate Card &amp; Lookups'!$G$9:$I$9,0)),"")</f>
        <v/>
      </c>
      <c r="J44" s="63"/>
      <c r="K44" s="58" t="str">
        <f t="shared" si="0"/>
        <v/>
      </c>
      <c r="L44" s="56" t="str">
        <f t="shared" si="1"/>
        <v/>
      </c>
      <c r="M44" s="59" t="str">
        <f t="shared" si="2"/>
        <v/>
      </c>
      <c r="N44" s="60" t="str">
        <f t="shared" si="3"/>
        <v/>
      </c>
      <c r="O44" s="61" t="str">
        <f t="shared" si="4"/>
        <v/>
      </c>
      <c r="P44" s="62" t="str">
        <f t="shared" si="5"/>
        <v/>
      </c>
      <c r="Q44" s="2"/>
      <c r="R44" s="4"/>
      <c r="S44" s="5"/>
      <c r="T44" s="5"/>
      <c r="V44" s="2"/>
      <c r="W44" s="2"/>
      <c r="X44" s="6"/>
      <c r="Y44" s="6"/>
    </row>
    <row r="45" spans="2:25" ht="13.15" customHeight="1" x14ac:dyDescent="0.25">
      <c r="B45" s="53"/>
      <c r="C45" s="54"/>
      <c r="D45" s="54"/>
      <c r="E45" s="55"/>
      <c r="F45" s="55"/>
      <c r="G45" s="54"/>
      <c r="H45" s="56" t="str">
        <f>IF(D45="Yes",HLOOKUP($K$50,'Rate Card &amp; Lookups'!$D$9:$F$39,4,FALSE)*$C$20,_xlfn.IFNA(INDEX('Rate Card &amp; Lookups'!$D$10:$F$39,MATCH($B45&amp;C45,'Rate Card &amp; Lookups'!$A$10:$A$39,0),MATCH($H$30,'Rate Card &amp; Lookups'!$D$9:$F$9,0))*$C$20,""))</f>
        <v/>
      </c>
      <c r="I45" s="56" t="str">
        <f>_xlfn.IFNA(INDEX('Rate Card &amp; Lookups'!$G$10:$I$39,MATCH($B45&amp;C45,'Rate Card &amp; Lookups'!$A$10:$A$39,0),MATCH($I$30,'Rate Card &amp; Lookups'!$G$9:$I$9,0)),"")</f>
        <v/>
      </c>
      <c r="J45" s="63"/>
      <c r="K45" s="58" t="str">
        <f t="shared" si="0"/>
        <v/>
      </c>
      <c r="L45" s="56" t="str">
        <f t="shared" si="1"/>
        <v/>
      </c>
      <c r="M45" s="59" t="str">
        <f t="shared" si="2"/>
        <v/>
      </c>
      <c r="N45" s="60" t="str">
        <f t="shared" si="3"/>
        <v/>
      </c>
      <c r="O45" s="61" t="str">
        <f t="shared" si="4"/>
        <v/>
      </c>
      <c r="P45" s="62" t="str">
        <f t="shared" si="5"/>
        <v/>
      </c>
      <c r="Q45" s="2"/>
      <c r="R45" s="4"/>
      <c r="S45" s="5"/>
      <c r="T45" s="5"/>
      <c r="V45" s="2"/>
      <c r="W45" s="2"/>
      <c r="X45" s="6"/>
      <c r="Y45" s="6"/>
    </row>
    <row r="46" spans="2:25" ht="13.15" customHeight="1" x14ac:dyDescent="0.25">
      <c r="B46" s="53"/>
      <c r="C46" s="54"/>
      <c r="D46" s="54"/>
      <c r="E46" s="55"/>
      <c r="F46" s="55"/>
      <c r="G46" s="54"/>
      <c r="H46" s="56" t="str">
        <f>IF(D46="Yes",HLOOKUP($K$50,'Rate Card &amp; Lookups'!$D$9:$F$39,4,FALSE)*$C$20,_xlfn.IFNA(INDEX('Rate Card &amp; Lookups'!$D$10:$F$39,MATCH($B46&amp;C46,'Rate Card &amp; Lookups'!$A$10:$A$39,0),MATCH($H$30,'Rate Card &amp; Lookups'!$D$9:$F$9,0))*$C$20,""))</f>
        <v/>
      </c>
      <c r="I46" s="56" t="str">
        <f>_xlfn.IFNA(INDEX('Rate Card &amp; Lookups'!$G$10:$I$39,MATCH($B46&amp;C46,'Rate Card &amp; Lookups'!$A$10:$A$39,0),MATCH($I$30,'Rate Card &amp; Lookups'!$G$9:$I$9,0)),"")</f>
        <v/>
      </c>
      <c r="J46" s="63"/>
      <c r="K46" s="58" t="str">
        <f t="shared" si="0"/>
        <v/>
      </c>
      <c r="L46" s="56" t="str">
        <f t="shared" si="1"/>
        <v/>
      </c>
      <c r="M46" s="59" t="str">
        <f t="shared" si="2"/>
        <v/>
      </c>
      <c r="N46" s="60" t="str">
        <f t="shared" si="3"/>
        <v/>
      </c>
      <c r="O46" s="61" t="str">
        <f t="shared" si="4"/>
        <v/>
      </c>
      <c r="P46" s="62" t="str">
        <f t="shared" si="5"/>
        <v/>
      </c>
      <c r="Q46" s="2"/>
      <c r="R46" s="4"/>
      <c r="S46" s="5"/>
      <c r="T46" s="5"/>
      <c r="V46" s="2"/>
      <c r="W46" s="2"/>
      <c r="X46" s="6"/>
      <c r="Y46" s="6"/>
    </row>
    <row r="47" spans="2:25" ht="13.15" customHeight="1" x14ac:dyDescent="0.25">
      <c r="B47" s="53"/>
      <c r="C47" s="54"/>
      <c r="D47" s="54"/>
      <c r="E47" s="55"/>
      <c r="F47" s="55"/>
      <c r="G47" s="54"/>
      <c r="H47" s="56" t="str">
        <f>IF(D47="Yes",HLOOKUP($K$50,'Rate Card &amp; Lookups'!$D$9:$F$39,4,FALSE)*$C$20,_xlfn.IFNA(INDEX('Rate Card &amp; Lookups'!$D$10:$F$39,MATCH($B47&amp;C47,'Rate Card &amp; Lookups'!$A$10:$A$39,0),MATCH($H$30,'Rate Card &amp; Lookups'!$D$9:$F$9,0))*$C$20,""))</f>
        <v/>
      </c>
      <c r="I47" s="56" t="str">
        <f>_xlfn.IFNA(INDEX('Rate Card &amp; Lookups'!$G$10:$I$39,MATCH($B47&amp;C47,'Rate Card &amp; Lookups'!$A$10:$A$39,0),MATCH($I$30,'Rate Card &amp; Lookups'!$G$9:$I$9,0)),"")</f>
        <v/>
      </c>
      <c r="J47" s="63"/>
      <c r="K47" s="58" t="str">
        <f t="shared" si="0"/>
        <v/>
      </c>
      <c r="L47" s="56" t="str">
        <f t="shared" si="1"/>
        <v/>
      </c>
      <c r="M47" s="59" t="str">
        <f t="shared" si="2"/>
        <v/>
      </c>
      <c r="N47" s="60" t="str">
        <f t="shared" si="3"/>
        <v/>
      </c>
      <c r="O47" s="61" t="str">
        <f t="shared" si="4"/>
        <v/>
      </c>
      <c r="P47" s="62" t="str">
        <f t="shared" si="5"/>
        <v/>
      </c>
      <c r="Q47" s="2"/>
      <c r="R47" s="3"/>
      <c r="S47" s="5"/>
      <c r="T47" s="5"/>
      <c r="V47" s="2"/>
      <c r="W47" s="2"/>
      <c r="X47" s="6"/>
      <c r="Y47" s="6"/>
    </row>
    <row r="48" spans="2:25" ht="13.15" customHeight="1" x14ac:dyDescent="0.25">
      <c r="B48" s="53"/>
      <c r="C48" s="54"/>
      <c r="D48" s="54"/>
      <c r="E48" s="55"/>
      <c r="F48" s="55"/>
      <c r="G48" s="54"/>
      <c r="H48" s="56" t="str">
        <f>IF(D48="Yes",HLOOKUP($K$50,'Rate Card &amp; Lookups'!$D$9:$F$39,4,FALSE)*$C$20,_xlfn.IFNA(INDEX('Rate Card &amp; Lookups'!$D$10:$F$39,MATCH($B48&amp;C48,'Rate Card &amp; Lookups'!$A$10:$A$39,0),MATCH($H$30,'Rate Card &amp; Lookups'!$D$9:$F$9,0))*$C$20,""))</f>
        <v/>
      </c>
      <c r="I48" s="56" t="str">
        <f>_xlfn.IFNA(INDEX('Rate Card &amp; Lookups'!$G$10:$I$39,MATCH($B48&amp;C48,'Rate Card &amp; Lookups'!$A$10:$A$39,0),MATCH($I$30,'Rate Card &amp; Lookups'!$G$9:$I$9,0)),"")</f>
        <v/>
      </c>
      <c r="J48" s="63"/>
      <c r="K48" s="58" t="str">
        <f t="shared" si="0"/>
        <v/>
      </c>
      <c r="L48" s="56" t="str">
        <f t="shared" si="1"/>
        <v/>
      </c>
      <c r="M48" s="59" t="str">
        <f t="shared" si="2"/>
        <v/>
      </c>
      <c r="N48" s="60" t="str">
        <f t="shared" si="3"/>
        <v/>
      </c>
      <c r="O48" s="61" t="str">
        <f t="shared" si="4"/>
        <v/>
      </c>
      <c r="P48" s="62" t="str">
        <f t="shared" si="5"/>
        <v/>
      </c>
      <c r="Q48" s="2"/>
      <c r="R48" s="64"/>
      <c r="S48" s="5"/>
      <c r="T48" s="5"/>
      <c r="V48" s="2"/>
      <c r="W48" s="2"/>
      <c r="X48" s="6"/>
      <c r="Y48" s="6"/>
    </row>
    <row r="49" spans="2:25" ht="13.15" customHeight="1" x14ac:dyDescent="0.25">
      <c r="B49" s="65"/>
      <c r="C49" s="66"/>
      <c r="D49" s="66"/>
      <c r="E49" s="67"/>
      <c r="F49" s="67"/>
      <c r="G49" s="66"/>
      <c r="H49" s="68" t="str">
        <f>IF(D49="Yes",HLOOKUP($K$50,'Rate Card &amp; Lookups'!$D$9:$F$39,4,FALSE)*$C$20,_xlfn.IFNA(INDEX('Rate Card &amp; Lookups'!$D$10:$F$39,MATCH($B49&amp;C49,'Rate Card &amp; Lookups'!$A$10:$A$39,0),MATCH($H$30,'Rate Card &amp; Lookups'!$D$9:$F$9,0))*$C$20,""))</f>
        <v/>
      </c>
      <c r="I49" s="68" t="str">
        <f>_xlfn.IFNA(INDEX('Rate Card &amp; Lookups'!$G$10:$I$39,MATCH($B49&amp;C49,'Rate Card &amp; Lookups'!$A$10:$A$39,0),MATCH($I$30,'Rate Card &amp; Lookups'!$G$9:$I$9,0)),"")</f>
        <v/>
      </c>
      <c r="J49" s="69" t="str">
        <f>IF(OR(E49="",F49=""),"",NETWORKDAYS(E49,F49,(IF(C49="IN",'Rate Card &amp; Lookups'!$AA$10:$AA$19,IF(C49="UK",'Rate Card &amp; Lookups'!$Y$10:$Y$19, IF(C49 = "USA",'Rate Card &amp; Lookups'!$Z$10:$Z$19,'Rate Card &amp; Lookups'!AB19))))))</f>
        <v/>
      </c>
      <c r="K49" s="70" t="str">
        <f>IF(ISBLANK(G49),"",G49/8)</f>
        <v/>
      </c>
      <c r="L49" s="71" t="str">
        <f>IFERROR(H49*K49,"")</f>
        <v/>
      </c>
      <c r="M49" s="72" t="str">
        <f>IFERROR(L49*J49,"")</f>
        <v/>
      </c>
      <c r="N49" s="73" t="str">
        <f>IFERROR(I49*K49*J49,"")</f>
        <v/>
      </c>
      <c r="O49" s="74" t="str">
        <f>IFERROR(M49-N49,"")</f>
        <v/>
      </c>
      <c r="P49" s="75" t="str">
        <f t="shared" si="5"/>
        <v/>
      </c>
      <c r="Q49" s="2"/>
      <c r="R49" s="4"/>
      <c r="S49" s="5"/>
      <c r="T49" s="5"/>
      <c r="V49" s="2"/>
      <c r="W49" s="2"/>
      <c r="X49" s="6"/>
      <c r="Y49" s="6"/>
    </row>
    <row r="50" spans="2:25" ht="13.15" customHeight="1" x14ac:dyDescent="0.3">
      <c r="B50" s="76" t="s">
        <v>64</v>
      </c>
      <c r="D50" s="76"/>
      <c r="J50" s="77">
        <f>MAX(J31:J49)</f>
        <v>5</v>
      </c>
      <c r="K50" s="78" t="str">
        <f xml:space="preserve"> INDEX('Rate Card &amp; Lookups'!U10:U13,MATCH('Project Budget'!C21,'Rate Card &amp; Lookups'!T10:T13,0))</f>
        <v>USD</v>
      </c>
      <c r="L50" s="79">
        <f>SUM(L31:L49)</f>
        <v>13006.5</v>
      </c>
      <c r="M50" s="79">
        <f>SUM(M31:M49)</f>
        <v>62107.5</v>
      </c>
      <c r="N50" s="79">
        <f>SUM(N31:N49)</f>
        <v>15860</v>
      </c>
      <c r="O50" s="79">
        <f>SUM(O31:O49)</f>
        <v>46247.5</v>
      </c>
      <c r="P50" s="80">
        <f t="shared" si="5"/>
        <v>0.74463631606488745</v>
      </c>
      <c r="Q50" s="2"/>
      <c r="R50" s="4"/>
      <c r="S50" s="5"/>
      <c r="T50" s="5"/>
      <c r="V50" s="2"/>
      <c r="W50" s="2"/>
      <c r="X50" s="6"/>
      <c r="Y50" s="6"/>
    </row>
    <row r="51" spans="2:25" ht="14.25" customHeight="1" x14ac:dyDescent="0.3">
      <c r="B51" s="81" t="s">
        <v>65</v>
      </c>
      <c r="C51" s="82"/>
      <c r="J51" s="83" t="s">
        <v>66</v>
      </c>
      <c r="K51" s="41"/>
      <c r="L51" s="41"/>
      <c r="M51" s="84">
        <f>M50/J50*5</f>
        <v>62107.5</v>
      </c>
      <c r="N51" s="83" t="s">
        <v>67</v>
      </c>
      <c r="P51" s="2"/>
      <c r="Q51" s="4"/>
      <c r="R51" s="4"/>
      <c r="S51" s="5"/>
      <c r="V51" s="2"/>
      <c r="X51" s="6"/>
    </row>
    <row r="52" spans="2:25" ht="13.15" customHeight="1" x14ac:dyDescent="0.25">
      <c r="B52" s="76"/>
      <c r="J52" s="41"/>
      <c r="K52" s="41"/>
      <c r="L52" s="41"/>
      <c r="M52" s="41"/>
      <c r="N52" s="41"/>
      <c r="O52" s="41"/>
      <c r="P52" s="41"/>
      <c r="R52" s="4"/>
    </row>
    <row r="53" spans="2:25" ht="13.15" customHeight="1" x14ac:dyDescent="0.25">
      <c r="B53" s="17" t="s">
        <v>68</v>
      </c>
      <c r="C53" s="18"/>
      <c r="D53" s="17"/>
      <c r="E53" s="18"/>
      <c r="F53" s="18"/>
      <c r="G53" s="18"/>
      <c r="H53" s="18"/>
      <c r="I53" s="18"/>
      <c r="J53" s="18"/>
      <c r="K53" s="39"/>
      <c r="L53" s="18"/>
      <c r="M53" s="18"/>
      <c r="N53" s="18"/>
      <c r="O53" s="18"/>
      <c r="P53" s="18"/>
    </row>
    <row r="54" spans="2:25" ht="4.5" customHeight="1" x14ac:dyDescent="0.25">
      <c r="B54" s="81"/>
      <c r="C54" s="82"/>
      <c r="J54" s="41"/>
      <c r="K54" s="41"/>
    </row>
    <row r="55" spans="2:25" ht="13.15" customHeight="1" x14ac:dyDescent="0.25">
      <c r="B55" s="81" t="s">
        <v>69</v>
      </c>
      <c r="C55" s="85"/>
      <c r="D55" s="86" t="s">
        <v>70</v>
      </c>
      <c r="F55" s="87" t="s">
        <v>71</v>
      </c>
      <c r="G55" s="88"/>
      <c r="H55" s="25" t="s">
        <v>72</v>
      </c>
      <c r="I55" s="5"/>
      <c r="O55" s="4"/>
      <c r="P55" s="5"/>
      <c r="R55" s="2"/>
      <c r="V55" s="2"/>
      <c r="W55" s="2"/>
    </row>
    <row r="56" spans="2:25" ht="3.75" customHeight="1" x14ac:dyDescent="0.25">
      <c r="B56" s="81"/>
      <c r="C56" s="82"/>
      <c r="J56" s="41"/>
      <c r="K56" s="41"/>
    </row>
    <row r="57" spans="2:25" ht="12" customHeight="1" x14ac:dyDescent="0.25">
      <c r="B57" s="81" t="s">
        <v>73</v>
      </c>
      <c r="C57" s="89" t="str">
        <f>K50</f>
        <v>USD</v>
      </c>
      <c r="D57" s="90">
        <f>IF(C55="",0,C55*M50)</f>
        <v>0</v>
      </c>
      <c r="F57" s="41"/>
      <c r="J57" s="41"/>
      <c r="K57" s="41"/>
    </row>
    <row r="58" spans="2:25" ht="4.1500000000000004" customHeight="1" x14ac:dyDescent="0.25">
      <c r="B58" s="81"/>
      <c r="C58" s="82"/>
      <c r="J58" s="41"/>
      <c r="K58" s="41"/>
    </row>
    <row r="59" spans="2:25" ht="13.15" customHeight="1" x14ac:dyDescent="0.25">
      <c r="B59" s="91" t="s">
        <v>74</v>
      </c>
      <c r="C59" s="234"/>
      <c r="D59" s="234"/>
      <c r="E59" s="234"/>
      <c r="F59" s="234"/>
      <c r="G59" s="234"/>
      <c r="H59" s="25" t="s">
        <v>16</v>
      </c>
      <c r="J59" s="41"/>
      <c r="K59" s="41"/>
    </row>
    <row r="60" spans="2:25" ht="4.1500000000000004" customHeight="1" x14ac:dyDescent="0.25">
      <c r="B60" s="91"/>
      <c r="F60" s="41"/>
      <c r="J60" s="41"/>
      <c r="K60" s="41"/>
    </row>
    <row r="61" spans="2:25" ht="13.15" customHeight="1" x14ac:dyDescent="0.25">
      <c r="B61" s="81" t="s">
        <v>75</v>
      </c>
      <c r="C61" s="235"/>
      <c r="D61" s="235"/>
      <c r="E61" s="235"/>
      <c r="F61" s="235"/>
      <c r="G61" s="235"/>
      <c r="L61" s="4"/>
      <c r="M61" s="5"/>
      <c r="N61" s="5"/>
      <c r="P61" s="2"/>
      <c r="Q61" s="2"/>
      <c r="R61" s="6"/>
      <c r="S61" s="6"/>
      <c r="V61" s="2"/>
      <c r="W61" s="2"/>
    </row>
    <row r="62" spans="2:25" ht="4.5" customHeight="1" x14ac:dyDescent="0.25">
      <c r="B62" s="81"/>
      <c r="C62" s="82"/>
      <c r="J62" s="41"/>
      <c r="K62" s="41"/>
    </row>
    <row r="63" spans="2:25" ht="11.5" customHeight="1" x14ac:dyDescent="0.25">
      <c r="B63" s="92" t="str">
        <f>IF(AND(C59="",OR(C55&lt;0,G55&lt;0)),"Please specify reason for discount.",IF(AND(C55&lt;&gt;"",G55&lt;&gt;""),"Please either enter discount as % OR as absolute value.",""))</f>
        <v/>
      </c>
      <c r="J63" s="41"/>
      <c r="K63" s="41"/>
    </row>
    <row r="64" spans="2:25" ht="11.5" customHeight="1" x14ac:dyDescent="0.25">
      <c r="B64" s="93" t="str">
        <f>IF(C59="","",IF(OR(C55&lt;'Rate Card &amp; Lookups'!$AE$18/100,G55&lt;'Rate Card &amp; Lookups'!AE18/100*'Project Budget'!M50),_xlfn.CONCAT("Maximum discount for specified reason is ",'Rate Card &amp; Lookups'!AE18,"% / ",K50," ",ROUND('Rate Card &amp; Lookups'!AE18/100*'Project Budget'!M50,0),"."),""))</f>
        <v/>
      </c>
      <c r="J64" s="41"/>
      <c r="K64" s="41"/>
    </row>
    <row r="65" spans="2:24" ht="3.75" customHeight="1" x14ac:dyDescent="0.25">
      <c r="B65" s="81"/>
      <c r="C65" s="82"/>
      <c r="J65" s="41"/>
      <c r="K65" s="41"/>
    </row>
    <row r="66" spans="2:24" ht="13.15" customHeight="1" x14ac:dyDescent="0.25">
      <c r="B66" s="81" t="s">
        <v>76</v>
      </c>
      <c r="D66" s="54" t="s">
        <v>77</v>
      </c>
      <c r="E66" s="25" t="s">
        <v>16</v>
      </c>
      <c r="K66" s="4"/>
      <c r="L66" s="5"/>
      <c r="M66" s="5"/>
      <c r="P66" s="2"/>
      <c r="Q66" s="2"/>
      <c r="R66" s="2"/>
      <c r="V66" s="2"/>
      <c r="W66" s="2"/>
    </row>
    <row r="67" spans="2:24" ht="13.15" customHeight="1" x14ac:dyDescent="0.25">
      <c r="B67" s="76" t="s">
        <v>78</v>
      </c>
      <c r="C67" s="89" t="str">
        <f>K50</f>
        <v>USD</v>
      </c>
      <c r="D67" s="94">
        <f>IF(D66="Yes",'Rate Card &amp; Lookups'!B43*'Project Budget'!M50,0)</f>
        <v>0</v>
      </c>
      <c r="J67" s="78"/>
      <c r="K67" s="79"/>
      <c r="L67" s="79"/>
      <c r="P67" s="2"/>
      <c r="Q67" s="4"/>
      <c r="S67" s="5"/>
      <c r="V67" s="2"/>
      <c r="X67" s="6"/>
    </row>
    <row r="68" spans="2:24" ht="4.5" customHeight="1" x14ac:dyDescent="0.25">
      <c r="B68" s="81"/>
      <c r="C68" s="82"/>
      <c r="J68" s="41"/>
      <c r="K68" s="41"/>
    </row>
    <row r="69" spans="2:24" ht="13.15" customHeight="1" x14ac:dyDescent="0.25">
      <c r="B69" s="17" t="s">
        <v>79</v>
      </c>
      <c r="C69" s="18"/>
      <c r="D69" s="17"/>
      <c r="E69" s="18"/>
      <c r="F69" s="18"/>
      <c r="G69" s="18"/>
      <c r="H69" s="18"/>
      <c r="I69" s="18"/>
      <c r="J69" s="18"/>
      <c r="K69" s="39"/>
      <c r="L69" s="18"/>
      <c r="M69" s="18"/>
      <c r="N69" s="18"/>
      <c r="O69" s="18"/>
      <c r="P69" s="18"/>
    </row>
    <row r="70" spans="2:24" ht="4.1500000000000004" customHeight="1" x14ac:dyDescent="0.25">
      <c r="B70" s="76"/>
      <c r="J70" s="41"/>
      <c r="K70" s="41"/>
    </row>
    <row r="71" spans="2:24" ht="10.9" customHeight="1" x14ac:dyDescent="0.3">
      <c r="B71" s="95" t="s">
        <v>80</v>
      </c>
      <c r="J71" s="41"/>
      <c r="K71" s="41"/>
    </row>
    <row r="72" spans="2:24" ht="12" x14ac:dyDescent="0.3">
      <c r="B72" s="95" t="s">
        <v>81</v>
      </c>
      <c r="J72" s="41"/>
      <c r="K72" s="41"/>
    </row>
    <row r="73" spans="2:24" ht="3.4" customHeight="1" x14ac:dyDescent="0.3">
      <c r="B73" s="95"/>
      <c r="J73" s="41"/>
      <c r="K73" s="41"/>
    </row>
    <row r="74" spans="2:24" ht="13.15" customHeight="1" x14ac:dyDescent="0.25">
      <c r="B74" s="23" t="s">
        <v>82</v>
      </c>
      <c r="C74" s="96" t="s">
        <v>83</v>
      </c>
      <c r="D74" s="96" t="s">
        <v>84</v>
      </c>
      <c r="F74" s="78" t="s">
        <v>85</v>
      </c>
      <c r="G74" s="97" t="s">
        <v>86</v>
      </c>
      <c r="J74" s="41"/>
      <c r="K74" s="41"/>
    </row>
    <row r="75" spans="2:24" ht="13.15" customHeight="1" x14ac:dyDescent="0.25">
      <c r="B75" s="98"/>
      <c r="C75" s="99" t="str">
        <f>IF(B75&lt;&gt;"",$K$50,"")</f>
        <v/>
      </c>
      <c r="D75" s="100"/>
      <c r="F75" s="101">
        <v>0</v>
      </c>
      <c r="G75" s="61">
        <f>F75*($M$50+$D$57+$D$67)</f>
        <v>0</v>
      </c>
      <c r="J75" s="41"/>
      <c r="K75" s="41"/>
    </row>
    <row r="76" spans="2:24" ht="13.15" customHeight="1" x14ac:dyDescent="0.25">
      <c r="B76" s="98"/>
      <c r="C76" s="99" t="str">
        <f>IF(B76&lt;&gt;"",$K$50,"")</f>
        <v/>
      </c>
      <c r="D76" s="100"/>
      <c r="F76" s="101"/>
      <c r="G76" s="61">
        <f>F76*($M$50+$D$57+$D$67)</f>
        <v>0</v>
      </c>
      <c r="J76" s="41"/>
      <c r="K76" s="41"/>
    </row>
    <row r="77" spans="2:24" ht="13.15" customHeight="1" x14ac:dyDescent="0.25">
      <c r="B77" s="98"/>
      <c r="C77" s="99" t="str">
        <f>IF(B77&lt;&gt;"",$K$50,"")</f>
        <v/>
      </c>
      <c r="D77" s="100"/>
      <c r="F77" s="101"/>
      <c r="G77" s="61">
        <f>F77*($M$50+$D$57+$D$67)</f>
        <v>0</v>
      </c>
      <c r="J77" s="41"/>
      <c r="K77" s="41"/>
    </row>
    <row r="78" spans="2:24" ht="13.15" customHeight="1" x14ac:dyDescent="0.25">
      <c r="B78" s="98"/>
      <c r="C78" s="99" t="str">
        <f>IF(B78&lt;&gt;"",$K$50,"")</f>
        <v/>
      </c>
      <c r="D78" s="100"/>
      <c r="F78" s="101"/>
      <c r="G78" s="61">
        <f>F78*($M$50+$D$57+$D$67)</f>
        <v>0</v>
      </c>
      <c r="J78" s="41"/>
      <c r="K78" s="41"/>
    </row>
    <row r="79" spans="2:24" ht="13.15" customHeight="1" x14ac:dyDescent="0.25">
      <c r="B79" s="98"/>
      <c r="C79" s="99" t="str">
        <f>IF(B79&lt;&gt;"",$K$50,"")</f>
        <v/>
      </c>
      <c r="D79" s="100"/>
      <c r="F79" s="101"/>
      <c r="G79" s="61">
        <f>F79*($M$50+$D$57+$D$67)</f>
        <v>0</v>
      </c>
      <c r="J79" s="41"/>
      <c r="K79" s="41"/>
    </row>
    <row r="80" spans="2:24" ht="13.15" customHeight="1" x14ac:dyDescent="0.25">
      <c r="B80" s="81" t="s">
        <v>87</v>
      </c>
      <c r="C80" s="102" t="str">
        <f>$K$50</f>
        <v>USD</v>
      </c>
      <c r="D80" s="79">
        <f>SUM(D75:D79,G75:G79)</f>
        <v>0</v>
      </c>
      <c r="J80" s="41"/>
      <c r="K80" s="41"/>
    </row>
    <row r="81" spans="2:23" ht="13.15" customHeight="1" x14ac:dyDescent="0.25">
      <c r="B81" s="81"/>
      <c r="C81" s="82"/>
      <c r="J81" s="41"/>
      <c r="K81" s="41"/>
    </row>
    <row r="82" spans="2:23" ht="13.15" customHeight="1" x14ac:dyDescent="0.25">
      <c r="B82" s="17" t="s">
        <v>88</v>
      </c>
      <c r="C82" s="18"/>
      <c r="D82" s="17"/>
      <c r="E82" s="18"/>
      <c r="F82" s="18"/>
      <c r="G82" s="18"/>
      <c r="H82" s="18"/>
      <c r="I82" s="18"/>
      <c r="J82" s="18"/>
      <c r="K82" s="39"/>
      <c r="L82" s="18"/>
      <c r="M82" s="18"/>
      <c r="N82" s="18"/>
      <c r="O82" s="18"/>
      <c r="P82" s="18"/>
    </row>
    <row r="83" spans="2:23" ht="13.15" customHeight="1" x14ac:dyDescent="0.25">
      <c r="B83" s="103"/>
    </row>
    <row r="84" spans="2:23" ht="13.15" customHeight="1" thickBot="1" x14ac:dyDescent="0.3">
      <c r="B84" s="104" t="s">
        <v>89</v>
      </c>
      <c r="C84" s="105" t="str">
        <f>H30</f>
        <v>USD</v>
      </c>
      <c r="O84" s="4"/>
      <c r="P84" s="5"/>
      <c r="R84" s="2"/>
      <c r="U84" s="6"/>
      <c r="W84" s="2"/>
    </row>
    <row r="85" spans="2:23" ht="13.15" customHeight="1" x14ac:dyDescent="0.25">
      <c r="B85" s="106" t="s">
        <v>90</v>
      </c>
      <c r="C85" s="107">
        <f>M50</f>
        <v>62107.5</v>
      </c>
      <c r="O85" s="4"/>
      <c r="P85" s="5"/>
      <c r="R85" s="2"/>
      <c r="U85" s="6"/>
      <c r="W85" s="2"/>
    </row>
    <row r="86" spans="2:23" ht="13.15" customHeight="1" x14ac:dyDescent="0.25">
      <c r="B86" s="108" t="s">
        <v>91</v>
      </c>
      <c r="C86" s="109">
        <f>IF(C55&lt;&gt;"",D57+D67,G55+D67)</f>
        <v>0</v>
      </c>
      <c r="O86" s="4"/>
      <c r="P86" s="5"/>
      <c r="R86" s="2"/>
      <c r="U86" s="6"/>
      <c r="W86" s="2"/>
    </row>
    <row r="87" spans="2:23" ht="13.15" customHeight="1" thickBot="1" x14ac:dyDescent="0.35">
      <c r="B87" s="110" t="s">
        <v>92</v>
      </c>
      <c r="C87" s="111">
        <f>SUM(C85:C86)</f>
        <v>62107.5</v>
      </c>
      <c r="D87" s="84"/>
      <c r="E87" s="83"/>
      <c r="O87" s="4"/>
      <c r="P87" s="5"/>
      <c r="R87" s="2"/>
      <c r="U87" s="6"/>
      <c r="W87" s="2"/>
    </row>
    <row r="88" spans="2:23" ht="13.15" customHeight="1" thickTop="1" x14ac:dyDescent="0.25">
      <c r="B88" s="112" t="s">
        <v>93</v>
      </c>
      <c r="C88" s="113">
        <f>IFERROR(SUM(C85:C86,C90)*C23,0)</f>
        <v>0</v>
      </c>
      <c r="O88" s="4"/>
      <c r="P88" s="5"/>
      <c r="R88" s="2"/>
      <c r="U88" s="6"/>
      <c r="W88" s="2"/>
    </row>
    <row r="89" spans="2:23" ht="13.15" customHeight="1" thickBot="1" x14ac:dyDescent="0.35">
      <c r="B89" s="110" t="s">
        <v>94</v>
      </c>
      <c r="C89" s="111">
        <f>SUM(C87:C88)</f>
        <v>62107.5</v>
      </c>
      <c r="D89" s="84">
        <f>ROUNDUP(C89/J50*5,-1)</f>
        <v>62110</v>
      </c>
      <c r="E89" s="83" t="s">
        <v>95</v>
      </c>
      <c r="O89" s="4"/>
      <c r="P89" s="5"/>
      <c r="R89" s="2"/>
      <c r="U89" s="6"/>
      <c r="W89" s="2"/>
    </row>
    <row r="90" spans="2:23" ht="13.15" customHeight="1" thickTop="1" x14ac:dyDescent="0.25">
      <c r="B90" s="114" t="s">
        <v>96</v>
      </c>
      <c r="C90" s="115">
        <f>SUM(D75:D79,G75:G79)</f>
        <v>0</v>
      </c>
      <c r="O90" s="4"/>
      <c r="P90" s="5"/>
      <c r="R90" s="2"/>
      <c r="U90" s="6"/>
      <c r="W90" s="2"/>
    </row>
    <row r="91" spans="2:23" ht="13.15" customHeight="1" x14ac:dyDescent="0.25">
      <c r="B91" s="116" t="s">
        <v>97</v>
      </c>
      <c r="C91" s="117">
        <f>SUM(C89:C90)</f>
        <v>62107.5</v>
      </c>
      <c r="O91" s="4"/>
      <c r="P91" s="5"/>
      <c r="R91" s="2"/>
      <c r="U91" s="6"/>
      <c r="W91" s="2"/>
    </row>
    <row r="92" spans="2:23" ht="13.15" customHeight="1" x14ac:dyDescent="0.25">
      <c r="B92" s="108" t="s">
        <v>98</v>
      </c>
      <c r="C92" s="109">
        <f>-N50</f>
        <v>-15860</v>
      </c>
      <c r="O92" s="4"/>
      <c r="P92" s="5"/>
      <c r="R92" s="2"/>
      <c r="U92" s="6"/>
      <c r="W92" s="2"/>
    </row>
    <row r="93" spans="2:23" ht="13.15" customHeight="1" thickBot="1" x14ac:dyDescent="0.3">
      <c r="B93" s="110" t="s">
        <v>99</v>
      </c>
      <c r="C93" s="111">
        <f>SUM(C91:C92)</f>
        <v>46247.5</v>
      </c>
      <c r="O93" s="4"/>
      <c r="P93" s="5"/>
      <c r="R93" s="2"/>
      <c r="U93" s="6"/>
      <c r="W93" s="2"/>
    </row>
    <row r="94" spans="2:23" ht="13.15" customHeight="1" thickTop="1" x14ac:dyDescent="0.3">
      <c r="B94" s="116" t="s">
        <v>50</v>
      </c>
      <c r="C94" s="118">
        <f>IFERROR(C93/C91,0)</f>
        <v>0.74463631606488745</v>
      </c>
      <c r="D94" s="119">
        <v>0.75</v>
      </c>
      <c r="E94" s="120" t="str">
        <f>IF(ROUND(C94,2)&lt;D94,"Speak to Cluster Lead","Margin% OK")</f>
        <v>Speak to Cluster Lead</v>
      </c>
      <c r="O94" s="4"/>
      <c r="P94" s="5"/>
      <c r="R94" s="2"/>
      <c r="U94" s="6"/>
      <c r="W94" s="2"/>
    </row>
    <row r="95" spans="2:23" ht="13.15" customHeight="1" x14ac:dyDescent="0.25">
      <c r="B95" s="121"/>
      <c r="C95" s="122"/>
      <c r="D95" s="123"/>
      <c r="O95" s="4"/>
      <c r="P95" s="5"/>
      <c r="R95" s="2"/>
      <c r="U95" s="6"/>
      <c r="W95" s="2"/>
    </row>
    <row r="96" spans="2:23" ht="13.15" customHeight="1" x14ac:dyDescent="0.25">
      <c r="B96" s="121"/>
      <c r="C96" s="124"/>
      <c r="O96" s="4"/>
      <c r="P96" s="5"/>
      <c r="R96" s="2"/>
      <c r="U96" s="6"/>
      <c r="W96" s="2"/>
    </row>
    <row r="97" spans="2:5" ht="13.15" customHeight="1" x14ac:dyDescent="0.25">
      <c r="B97" s="125" t="s">
        <v>100</v>
      </c>
      <c r="C97" s="126" t="str">
        <f>H30</f>
        <v>USD</v>
      </c>
    </row>
    <row r="98" spans="2:5" ht="13.15" customHeight="1" x14ac:dyDescent="0.3">
      <c r="B98" s="127" t="s">
        <v>101</v>
      </c>
      <c r="C98" s="128">
        <f>ROUNDUP(C89,-1)</f>
        <v>62110</v>
      </c>
      <c r="E98" s="83" t="s">
        <v>102</v>
      </c>
    </row>
    <row r="99" spans="2:5" ht="13.15" customHeight="1" x14ac:dyDescent="0.3">
      <c r="B99" s="127" t="s">
        <v>103</v>
      </c>
      <c r="C99" s="128">
        <f>C90</f>
        <v>0</v>
      </c>
      <c r="E99" s="83" t="s">
        <v>104</v>
      </c>
    </row>
    <row r="100" spans="2:5" ht="13.15" customHeight="1" x14ac:dyDescent="0.25">
      <c r="B100" s="125" t="s">
        <v>105</v>
      </c>
      <c r="C100" s="129">
        <f>SUM(C98:C99)</f>
        <v>62110</v>
      </c>
    </row>
    <row r="101" spans="2:5" ht="4.5" customHeight="1" x14ac:dyDescent="0.25"/>
    <row r="102" spans="2:5" ht="13.15" customHeight="1" x14ac:dyDescent="0.25">
      <c r="B102" s="130" t="s">
        <v>106</v>
      </c>
      <c r="C102" s="131">
        <f>C100/J50*5</f>
        <v>62110</v>
      </c>
    </row>
  </sheetData>
  <dataConsolidate link="1"/>
  <mergeCells count="11">
    <mergeCell ref="J27:J28"/>
    <mergeCell ref="B29:B30"/>
    <mergeCell ref="C29:C30"/>
    <mergeCell ref="D29:D30"/>
    <mergeCell ref="G29:G30"/>
    <mergeCell ref="C59:G59"/>
    <mergeCell ref="C61:G61"/>
    <mergeCell ref="C27:C28"/>
    <mergeCell ref="D27:D28"/>
    <mergeCell ref="E27:F28"/>
    <mergeCell ref="G27:G28"/>
  </mergeCells>
  <conditionalFormatting sqref="E94">
    <cfRule type="cellIs" dxfId="0" priority="1" operator="equal">
      <formula>"Margin% OK"</formula>
    </cfRule>
  </conditionalFormatting>
  <dataValidations count="2">
    <dataValidation type="list" allowBlank="1" showInputMessage="1" showErrorMessage="1" sqref="C16" xr:uid="{86AAF6ED-C007-4E02-9958-17A47A389084}">
      <formula1>#REF!</formula1>
    </dataValidation>
    <dataValidation type="custom" allowBlank="1" showInputMessage="1" showErrorMessage="1" sqref="C60" xr:uid="{E763C0E6-A50C-4E8C-851F-DCB4BA5F7827}">
      <formula1>B64</formula1>
    </dataValidation>
  </dataValidations>
  <pageMargins left="0.7" right="0.7" top="0.75" bottom="0.75" header="0.3" footer="0.3"/>
  <pageSetup orientation="portrait" r:id="rId1"/>
  <ignoredErrors>
    <ignoredError sqref="J4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CFE2E0-D3BF-4B76-B799-5AE54391BC7B}">
          <x14:formula1>
            <xm:f>'Rate Card &amp; Lookups'!$W$10:$W$28</xm:f>
          </x14:formula1>
          <xm:sqref>B31:B49</xm:sqref>
        </x14:dataValidation>
        <x14:dataValidation type="list" allowBlank="1" showInputMessage="1" showErrorMessage="1" xr:uid="{9E37AC5A-270A-4D2D-892E-E53F10FF69D8}">
          <x14:formula1>
            <xm:f>'Rate Card &amp; Lookups'!$R$10:$R$13</xm:f>
          </x14:formula1>
          <xm:sqref>C31:C48</xm:sqref>
        </x14:dataValidation>
        <x14:dataValidation type="list" allowBlank="1" showInputMessage="1" showErrorMessage="1" xr:uid="{7447630E-20BB-4E64-B252-DC5F1FE998B6}">
          <x14:formula1>
            <xm:f>'Rate Card &amp; Lookups'!$T$10:$T$13</xm:f>
          </x14:formula1>
          <xm:sqref>C21</xm:sqref>
        </x14:dataValidation>
        <x14:dataValidation type="list" allowBlank="1" showInputMessage="1" showErrorMessage="1" xr:uid="{C78EF1BA-CD92-49B7-BEEE-A0547AC13ADF}">
          <x14:formula1>
            <xm:f>'Rate Card &amp; Lookups'!$M$10:$M$12</xm:f>
          </x14:formula1>
          <xm:sqref>C18</xm:sqref>
        </x14:dataValidation>
        <x14:dataValidation type="list" allowBlank="1" showInputMessage="1" showErrorMessage="1" xr:uid="{4516B6E7-485A-49C5-BF75-3AEF36408C0D}">
          <x14:formula1>
            <xm:f>'Rate Card &amp; Lookups'!$AC$10:$AC$16</xm:f>
          </x14:formula1>
          <xm:sqref>C59:G59</xm:sqref>
        </x14:dataValidation>
        <x14:dataValidation type="list" allowBlank="1" showInputMessage="1" showErrorMessage="1" xr:uid="{7E4432A7-362B-4F20-9405-6CFC501F7A9B}">
          <x14:formula1>
            <xm:f>'Rate Card &amp; Lookups'!$AG$10:$AG$11</xm:f>
          </x14:formula1>
          <xm:sqref>D66 D31:D49</xm:sqref>
        </x14:dataValidation>
        <x14:dataValidation type="list" allowBlank="1" showInputMessage="1" showErrorMessage="1" xr:uid="{11C56DFD-3AD9-4D0D-9AD2-89508C5583A7}">
          <x14:formula1>
            <xm:f>'Rate Card &amp; Lookups'!$AI$10:$AI$13</xm:f>
          </x14:formula1>
          <xm:sqref>C22</xm:sqref>
        </x14:dataValidation>
        <x14:dataValidation type="list" allowBlank="1" showInputMessage="1" showErrorMessage="1" xr:uid="{8E2368A6-DDF5-4719-9F0A-82377FFA6638}">
          <x14:formula1>
            <xm:f>'Rate Card &amp; Lookups'!$O$10:$O$21</xm:f>
          </x14:formula1>
          <xm:sqref>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B62B-9883-407F-B7DE-3EF3926E05BD}">
  <sheetPr>
    <tabColor theme="0" tint="-0.14999847407452621"/>
  </sheetPr>
  <dimension ref="A2:AJ52"/>
  <sheetViews>
    <sheetView showGridLines="0" topLeftCell="A8" zoomScale="97" zoomScaleNormal="100" workbookViewId="0">
      <selection activeCell="C19" sqref="C19"/>
    </sheetView>
  </sheetViews>
  <sheetFormatPr defaultColWidth="8.765625" defaultRowHeight="11.5" x14ac:dyDescent="0.25"/>
  <cols>
    <col min="1" max="1" width="1.765625" style="5" customWidth="1"/>
    <col min="2" max="2" width="20" style="5" bestFit="1" customWidth="1"/>
    <col min="3" max="3" width="17.69140625" style="5" bestFit="1" customWidth="1"/>
    <col min="4" max="4" width="11.23046875" style="5" customWidth="1"/>
    <col min="5" max="6" width="12.69140625" style="5" customWidth="1"/>
    <col min="7" max="7" width="8.4609375" style="5" customWidth="1"/>
    <col min="8" max="9" width="10.3046875" style="5" customWidth="1"/>
    <col min="10" max="11" width="6.3046875" style="5" hidden="1" customWidth="1"/>
    <col min="12" max="12" width="2.84375" style="5" customWidth="1"/>
    <col min="13" max="13" width="12.3046875" style="5" bestFit="1" customWidth="1"/>
    <col min="14" max="14" width="3.07421875" style="5" customWidth="1"/>
    <col min="15" max="15" width="21" style="5" customWidth="1"/>
    <col min="16" max="16" width="8.3046875" style="5" customWidth="1"/>
    <col min="17" max="17" width="2.3046875" style="5" customWidth="1"/>
    <col min="18" max="18" width="12.3046875" style="5" customWidth="1"/>
    <col min="19" max="19" width="2.3046875" style="5" customWidth="1"/>
    <col min="20" max="20" width="13.3046875" style="5" customWidth="1"/>
    <col min="21" max="21" width="7.84375" style="5" bestFit="1" customWidth="1"/>
    <col min="22" max="22" width="2.23046875" style="5" customWidth="1"/>
    <col min="23" max="23" width="21.53515625" style="5" bestFit="1" customWidth="1"/>
    <col min="24" max="24" width="2.23046875" style="5" customWidth="1"/>
    <col min="25" max="25" width="10.84375" style="5" customWidth="1"/>
    <col min="26" max="26" width="11.3046875" style="5" customWidth="1"/>
    <col min="27" max="27" width="13.23046875" style="5" customWidth="1"/>
    <col min="28" max="28" width="3.3046875" style="5" customWidth="1"/>
    <col min="29" max="29" width="36" style="5" bestFit="1" customWidth="1"/>
    <col min="30" max="30" width="12.23046875" style="5" customWidth="1"/>
    <col min="31" max="31" width="9.69140625" style="5" customWidth="1"/>
    <col min="32" max="32" width="4.07421875" style="5" customWidth="1"/>
    <col min="33" max="33" width="18.765625" style="5" bestFit="1" customWidth="1"/>
    <col min="34" max="34" width="2.53515625" style="5" customWidth="1"/>
    <col min="35" max="35" width="21.07421875" style="5" customWidth="1"/>
    <col min="36" max="16384" width="8.765625" style="5"/>
  </cols>
  <sheetData>
    <row r="2" spans="1:36" s="39" customFormat="1" x14ac:dyDescent="0.25">
      <c r="B2" s="132" t="s">
        <v>107</v>
      </c>
      <c r="C2" s="132"/>
    </row>
    <row r="5" spans="1:36" x14ac:dyDescent="0.25">
      <c r="C5" s="133"/>
      <c r="D5" s="133"/>
      <c r="E5" s="134"/>
      <c r="F5" s="134"/>
      <c r="G5" s="134"/>
      <c r="H5" s="134"/>
      <c r="I5" s="134"/>
    </row>
    <row r="6" spans="1:36" x14ac:dyDescent="0.25">
      <c r="C6" s="133"/>
      <c r="D6" s="133"/>
      <c r="E6" s="133"/>
      <c r="F6" s="133"/>
      <c r="G6" s="133"/>
      <c r="H6" s="133"/>
      <c r="I6" s="133"/>
      <c r="J6" s="135"/>
      <c r="K6" s="135"/>
      <c r="L6" s="135"/>
      <c r="M6" s="135"/>
      <c r="N6" s="135"/>
    </row>
    <row r="7" spans="1:36" x14ac:dyDescent="0.25">
      <c r="C7" s="133"/>
      <c r="D7" s="133"/>
      <c r="E7" s="133"/>
      <c r="F7" s="133"/>
      <c r="G7" s="136" t="s">
        <v>108</v>
      </c>
      <c r="H7" s="137">
        <v>1.3</v>
      </c>
      <c r="I7" s="137">
        <v>1.2</v>
      </c>
      <c r="J7" s="133"/>
      <c r="K7" s="133"/>
      <c r="L7" s="133"/>
      <c r="M7" s="133"/>
      <c r="N7" s="133"/>
    </row>
    <row r="8" spans="1:36" x14ac:dyDescent="0.25">
      <c r="B8" s="2"/>
      <c r="C8" s="2"/>
      <c r="D8" s="228" t="s">
        <v>109</v>
      </c>
      <c r="E8" s="228"/>
      <c r="F8" s="138"/>
      <c r="G8" s="229" t="s">
        <v>110</v>
      </c>
      <c r="H8" s="230"/>
      <c r="I8" s="139"/>
      <c r="Y8" s="231" t="s">
        <v>111</v>
      </c>
      <c r="Z8" s="232"/>
      <c r="AA8" s="233"/>
    </row>
    <row r="9" spans="1:36" ht="23" x14ac:dyDescent="0.25">
      <c r="B9" s="138" t="s">
        <v>36</v>
      </c>
      <c r="C9" s="142" t="s">
        <v>112</v>
      </c>
      <c r="D9" s="142" t="s">
        <v>113</v>
      </c>
      <c r="E9" s="138" t="s">
        <v>114</v>
      </c>
      <c r="F9" s="138" t="s">
        <v>115</v>
      </c>
      <c r="G9" s="143" t="s">
        <v>113</v>
      </c>
      <c r="H9" s="144" t="s">
        <v>114</v>
      </c>
      <c r="I9" s="145" t="s">
        <v>115</v>
      </c>
      <c r="J9" s="5" t="s">
        <v>116</v>
      </c>
      <c r="K9" s="5" t="s">
        <v>117</v>
      </c>
      <c r="M9" s="146" t="s">
        <v>14</v>
      </c>
      <c r="O9" s="140" t="s">
        <v>118</v>
      </c>
      <c r="P9" s="141" t="s">
        <v>119</v>
      </c>
      <c r="R9" s="147" t="s">
        <v>112</v>
      </c>
      <c r="T9" s="148" t="s">
        <v>120</v>
      </c>
      <c r="U9" s="148" t="s">
        <v>121</v>
      </c>
      <c r="W9" s="149" t="s">
        <v>36</v>
      </c>
      <c r="Y9" s="150" t="s">
        <v>21</v>
      </c>
      <c r="Z9" s="151" t="s">
        <v>63</v>
      </c>
      <c r="AA9" s="152" t="s">
        <v>55</v>
      </c>
      <c r="AC9" s="149" t="s">
        <v>122</v>
      </c>
      <c r="AD9" s="153" t="s">
        <v>123</v>
      </c>
      <c r="AE9" s="153" t="s">
        <v>124</v>
      </c>
      <c r="AG9" s="148" t="s">
        <v>125</v>
      </c>
      <c r="AI9" s="148" t="s">
        <v>22</v>
      </c>
      <c r="AJ9" s="148" t="s">
        <v>126</v>
      </c>
    </row>
    <row r="10" spans="1:36" ht="23" x14ac:dyDescent="0.25">
      <c r="A10" s="154" t="str">
        <f>B10&amp;C10</f>
        <v>Associate PartnerUK</v>
      </c>
      <c r="B10" s="155" t="s">
        <v>127</v>
      </c>
      <c r="C10" s="156" t="s">
        <v>21</v>
      </c>
      <c r="D10" s="157">
        <v>2250</v>
      </c>
      <c r="E10" s="158">
        <v>3526.25</v>
      </c>
      <c r="F10" s="159">
        <f>D10*$I$7</f>
        <v>2700</v>
      </c>
      <c r="G10" s="157">
        <v>1145</v>
      </c>
      <c r="H10" s="158">
        <f>G10*$H$7</f>
        <v>1488.5</v>
      </c>
      <c r="I10" s="160">
        <f>G10*$I$7</f>
        <v>1374</v>
      </c>
      <c r="J10" s="161">
        <f>E10/D10</f>
        <v>1.5672222222222223</v>
      </c>
      <c r="K10" s="161">
        <f>F10/D10</f>
        <v>1.2</v>
      </c>
      <c r="M10" s="162" t="s">
        <v>15</v>
      </c>
      <c r="O10" s="223" t="s">
        <v>18</v>
      </c>
      <c r="P10" s="224">
        <v>1</v>
      </c>
      <c r="R10" s="162" t="s">
        <v>55</v>
      </c>
      <c r="T10" s="163" t="s">
        <v>128</v>
      </c>
      <c r="U10" s="164" t="s">
        <v>113</v>
      </c>
      <c r="W10" s="165" t="s">
        <v>129</v>
      </c>
      <c r="Y10" s="166">
        <f>DATE(2024,3,29)</f>
        <v>45380</v>
      </c>
      <c r="Z10" s="167">
        <f>DATE(2023,12,25)</f>
        <v>45285</v>
      </c>
      <c r="AA10" s="168">
        <f>DATE(2024,1,15)</f>
        <v>45306</v>
      </c>
      <c r="AC10" s="169" t="s">
        <v>130</v>
      </c>
      <c r="AD10" s="170">
        <v>0</v>
      </c>
      <c r="AE10" s="171">
        <v>-0.1</v>
      </c>
      <c r="AG10" s="172" t="s">
        <v>131</v>
      </c>
      <c r="AI10" s="173" t="s">
        <v>23</v>
      </c>
      <c r="AJ10" s="174">
        <v>0</v>
      </c>
    </row>
    <row r="11" spans="1:36" x14ac:dyDescent="0.25">
      <c r="A11" s="154" t="str">
        <f t="shared" ref="A11:A39" si="0">B11&amp;C11</f>
        <v>PrincipalUK</v>
      </c>
      <c r="B11" s="175" t="s">
        <v>132</v>
      </c>
      <c r="C11" s="176" t="s">
        <v>21</v>
      </c>
      <c r="D11" s="177">
        <v>1950</v>
      </c>
      <c r="E11" s="178">
        <v>3233.75</v>
      </c>
      <c r="F11" s="179">
        <f t="shared" ref="F11:F30" si="1">D11*$I$7</f>
        <v>2340</v>
      </c>
      <c r="G11" s="177">
        <v>780</v>
      </c>
      <c r="H11" s="178">
        <f t="shared" ref="H11:H39" si="2">G11*$H$7</f>
        <v>1014</v>
      </c>
      <c r="I11" s="180">
        <f t="shared" ref="I11:I30" si="3">G11*$I$7</f>
        <v>936</v>
      </c>
      <c r="J11" s="161">
        <f t="shared" ref="J11:J39" si="4">E11/D11</f>
        <v>1.6583333333333334</v>
      </c>
      <c r="K11" s="161">
        <f t="shared" ref="K11:K39" si="5">F11/D11</f>
        <v>1.2</v>
      </c>
      <c r="M11" s="162" t="s">
        <v>133</v>
      </c>
      <c r="O11" s="223" t="s">
        <v>134</v>
      </c>
      <c r="P11" s="224">
        <v>1</v>
      </c>
      <c r="R11" s="162" t="s">
        <v>128</v>
      </c>
      <c r="T11" s="181" t="s">
        <v>21</v>
      </c>
      <c r="U11" s="182" t="s">
        <v>113</v>
      </c>
      <c r="W11" s="183" t="s">
        <v>127</v>
      </c>
      <c r="Y11" s="166">
        <f>DATE(2024,4,1)</f>
        <v>45383</v>
      </c>
      <c r="Z11" s="167">
        <f>DATE(2023,1,1)</f>
        <v>44927</v>
      </c>
      <c r="AA11" s="168">
        <f>DATE(2024,1,26)</f>
        <v>45317</v>
      </c>
      <c r="AC11" s="184" t="s">
        <v>135</v>
      </c>
      <c r="AD11" s="185">
        <v>0</v>
      </c>
      <c r="AE11" s="186">
        <v>-0.3</v>
      </c>
      <c r="AG11" s="187" t="s">
        <v>77</v>
      </c>
      <c r="AI11" s="188" t="s">
        <v>136</v>
      </c>
      <c r="AJ11" s="189">
        <v>0</v>
      </c>
    </row>
    <row r="12" spans="1:36" x14ac:dyDescent="0.25">
      <c r="A12" s="154" t="str">
        <f t="shared" si="0"/>
        <v>ManagerUK</v>
      </c>
      <c r="B12" s="175" t="s">
        <v>137</v>
      </c>
      <c r="C12" s="176" t="s">
        <v>21</v>
      </c>
      <c r="D12" s="177">
        <v>1750</v>
      </c>
      <c r="E12" s="178">
        <v>2983.5</v>
      </c>
      <c r="F12" s="179">
        <f t="shared" si="1"/>
        <v>2100</v>
      </c>
      <c r="G12" s="177">
        <v>585</v>
      </c>
      <c r="H12" s="178">
        <f t="shared" si="2"/>
        <v>760.5</v>
      </c>
      <c r="I12" s="180">
        <f t="shared" si="3"/>
        <v>702</v>
      </c>
      <c r="J12" s="161">
        <f t="shared" si="4"/>
        <v>1.7048571428571428</v>
      </c>
      <c r="K12" s="161">
        <f t="shared" si="5"/>
        <v>1.2</v>
      </c>
      <c r="M12" s="187" t="s">
        <v>138</v>
      </c>
      <c r="O12" s="223" t="s">
        <v>139</v>
      </c>
      <c r="P12" s="224">
        <v>1</v>
      </c>
      <c r="R12" s="162" t="s">
        <v>21</v>
      </c>
      <c r="T12" s="181" t="s">
        <v>63</v>
      </c>
      <c r="U12" s="182" t="s">
        <v>114</v>
      </c>
      <c r="W12" s="183" t="s">
        <v>132</v>
      </c>
      <c r="Y12" s="166">
        <f>DATE(2024,5,6)</f>
        <v>45418</v>
      </c>
      <c r="Z12" s="190"/>
      <c r="AA12" s="168">
        <f>DATE(2024,4,11)</f>
        <v>45393</v>
      </c>
      <c r="AC12" s="184" t="s">
        <v>140</v>
      </c>
      <c r="AD12" s="185">
        <v>0</v>
      </c>
      <c r="AE12" s="186">
        <v>-0.2</v>
      </c>
      <c r="AI12" s="188" t="s">
        <v>141</v>
      </c>
      <c r="AJ12" s="191">
        <v>2.5000000000000001E-2</v>
      </c>
    </row>
    <row r="13" spans="1:36" x14ac:dyDescent="0.25">
      <c r="A13" s="154" t="str">
        <f t="shared" si="0"/>
        <v>Senior ConsultantUK</v>
      </c>
      <c r="B13" s="175" t="s">
        <v>142</v>
      </c>
      <c r="C13" s="176" t="s">
        <v>21</v>
      </c>
      <c r="D13" s="177">
        <v>1500</v>
      </c>
      <c r="E13" s="178">
        <v>2798.25</v>
      </c>
      <c r="F13" s="179">
        <f t="shared" si="1"/>
        <v>1800</v>
      </c>
      <c r="G13" s="177">
        <v>480</v>
      </c>
      <c r="H13" s="178">
        <f t="shared" si="2"/>
        <v>624</v>
      </c>
      <c r="I13" s="180">
        <f t="shared" si="3"/>
        <v>576</v>
      </c>
      <c r="J13" s="161">
        <f t="shared" si="4"/>
        <v>1.8654999999999999</v>
      </c>
      <c r="K13" s="161">
        <f t="shared" si="5"/>
        <v>1.2</v>
      </c>
      <c r="O13" s="223" t="s">
        <v>143</v>
      </c>
      <c r="P13" s="224">
        <v>1</v>
      </c>
      <c r="R13" s="187" t="s">
        <v>63</v>
      </c>
      <c r="T13" s="192" t="s">
        <v>144</v>
      </c>
      <c r="U13" s="193" t="s">
        <v>115</v>
      </c>
      <c r="W13" s="183" t="s">
        <v>137</v>
      </c>
      <c r="Y13" s="166">
        <f>DATE(2024,5,27)</f>
        <v>45439</v>
      </c>
      <c r="Z13" s="190"/>
      <c r="AA13" s="168">
        <f>DATE(2024,5,1)</f>
        <v>45413</v>
      </c>
      <c r="AC13" s="184" t="s">
        <v>145</v>
      </c>
      <c r="AD13" s="185">
        <v>0</v>
      </c>
      <c r="AE13" s="186">
        <v>-0.2</v>
      </c>
      <c r="AI13" s="194" t="s">
        <v>146</v>
      </c>
      <c r="AJ13" s="195">
        <f>AJ12*2</f>
        <v>0.05</v>
      </c>
    </row>
    <row r="14" spans="1:36" x14ac:dyDescent="0.25">
      <c r="A14" s="154" t="str">
        <f t="shared" si="0"/>
        <v>ConsultantUK</v>
      </c>
      <c r="B14" s="175" t="s">
        <v>54</v>
      </c>
      <c r="C14" s="176" t="s">
        <v>21</v>
      </c>
      <c r="D14" s="177">
        <v>1350</v>
      </c>
      <c r="E14" s="178">
        <v>2457</v>
      </c>
      <c r="F14" s="179">
        <f t="shared" si="1"/>
        <v>1620</v>
      </c>
      <c r="G14" s="177">
        <v>425</v>
      </c>
      <c r="H14" s="178">
        <f t="shared" si="2"/>
        <v>552.5</v>
      </c>
      <c r="I14" s="180">
        <f t="shared" si="3"/>
        <v>510</v>
      </c>
      <c r="J14" s="161">
        <f t="shared" si="4"/>
        <v>1.82</v>
      </c>
      <c r="K14" s="161">
        <f t="shared" si="5"/>
        <v>1.2</v>
      </c>
      <c r="O14" s="223" t="s">
        <v>138</v>
      </c>
      <c r="P14" s="224">
        <v>1</v>
      </c>
      <c r="W14" s="183" t="s">
        <v>142</v>
      </c>
      <c r="Y14" s="166">
        <f>DATE(2024,8,26)</f>
        <v>45530</v>
      </c>
      <c r="Z14" s="190"/>
      <c r="AA14" s="168">
        <f>DATE(2024,8,15)</f>
        <v>45519</v>
      </c>
      <c r="AC14" s="184" t="s">
        <v>147</v>
      </c>
      <c r="AD14" s="185">
        <v>0</v>
      </c>
      <c r="AE14" s="186">
        <v>-0.2</v>
      </c>
    </row>
    <row r="15" spans="1:36" x14ac:dyDescent="0.25">
      <c r="A15" s="154" t="str">
        <f t="shared" si="0"/>
        <v>Senior Associate ConsultantUK</v>
      </c>
      <c r="B15" s="175" t="s">
        <v>56</v>
      </c>
      <c r="C15" s="176" t="s">
        <v>21</v>
      </c>
      <c r="D15" s="177">
        <v>1100</v>
      </c>
      <c r="E15" s="178">
        <v>1979.25</v>
      </c>
      <c r="F15" s="179">
        <f t="shared" si="1"/>
        <v>1320</v>
      </c>
      <c r="G15" s="177">
        <v>335</v>
      </c>
      <c r="H15" s="178">
        <f t="shared" si="2"/>
        <v>435.5</v>
      </c>
      <c r="I15" s="180">
        <f t="shared" si="3"/>
        <v>402</v>
      </c>
      <c r="J15" s="161">
        <f t="shared" si="4"/>
        <v>1.7993181818181818</v>
      </c>
      <c r="K15" s="161">
        <f t="shared" si="5"/>
        <v>1.2</v>
      </c>
      <c r="O15" s="223" t="s">
        <v>128</v>
      </c>
      <c r="P15" s="224">
        <v>1</v>
      </c>
      <c r="W15" s="183" t="s">
        <v>54</v>
      </c>
      <c r="Y15" s="166">
        <f>DATE(2023,12,25)</f>
        <v>45285</v>
      </c>
      <c r="Z15" s="190"/>
      <c r="AA15" s="168">
        <f>DATE(2024,10,2)</f>
        <v>45567</v>
      </c>
      <c r="AC15" s="184" t="s">
        <v>148</v>
      </c>
      <c r="AD15" s="185">
        <v>0</v>
      </c>
      <c r="AE15" s="186">
        <v>-1</v>
      </c>
    </row>
    <row r="16" spans="1:36" x14ac:dyDescent="0.25">
      <c r="A16" s="154" t="str">
        <f t="shared" si="0"/>
        <v>Associate ConsultantUK</v>
      </c>
      <c r="B16" s="175" t="s">
        <v>57</v>
      </c>
      <c r="C16" s="176" t="s">
        <v>21</v>
      </c>
      <c r="D16" s="177">
        <v>975</v>
      </c>
      <c r="E16" s="178">
        <v>1865.5</v>
      </c>
      <c r="F16" s="179">
        <f t="shared" si="1"/>
        <v>1170</v>
      </c>
      <c r="G16" s="177">
        <v>290</v>
      </c>
      <c r="H16" s="178">
        <f t="shared" si="2"/>
        <v>377</v>
      </c>
      <c r="I16" s="180">
        <f t="shared" si="3"/>
        <v>348</v>
      </c>
      <c r="J16" s="161">
        <f t="shared" si="4"/>
        <v>1.9133333333333333</v>
      </c>
      <c r="K16" s="161">
        <f t="shared" si="5"/>
        <v>1.2</v>
      </c>
      <c r="O16" s="223" t="s">
        <v>149</v>
      </c>
      <c r="P16" s="224">
        <v>1</v>
      </c>
      <c r="W16" s="183" t="s">
        <v>56</v>
      </c>
      <c r="Y16" s="166">
        <f>DATE(2024,12,26)</f>
        <v>45652</v>
      </c>
      <c r="Z16" s="190"/>
      <c r="AA16" s="168">
        <f>DATE(2024,10,31)</f>
        <v>45596</v>
      </c>
      <c r="AC16" s="196" t="s">
        <v>150</v>
      </c>
      <c r="AD16" s="197"/>
      <c r="AE16" s="198">
        <v>-0.2</v>
      </c>
    </row>
    <row r="17" spans="1:32" x14ac:dyDescent="0.25">
      <c r="A17" s="154" t="str">
        <f t="shared" si="0"/>
        <v>InternUK</v>
      </c>
      <c r="B17" s="175" t="s">
        <v>151</v>
      </c>
      <c r="C17" s="176" t="s">
        <v>21</v>
      </c>
      <c r="D17" s="177">
        <v>975</v>
      </c>
      <c r="E17" s="178">
        <v>1865.5</v>
      </c>
      <c r="F17" s="179">
        <f t="shared" si="1"/>
        <v>1170</v>
      </c>
      <c r="G17" s="177">
        <v>220</v>
      </c>
      <c r="H17" s="178">
        <f t="shared" si="2"/>
        <v>286</v>
      </c>
      <c r="I17" s="180">
        <f t="shared" si="3"/>
        <v>264</v>
      </c>
      <c r="J17" s="161">
        <f t="shared" si="4"/>
        <v>1.9133333333333333</v>
      </c>
      <c r="K17" s="161">
        <f t="shared" si="5"/>
        <v>1.2</v>
      </c>
      <c r="O17" s="223"/>
      <c r="P17" s="224"/>
      <c r="W17" s="183" t="s">
        <v>57</v>
      </c>
      <c r="Y17" s="199"/>
      <c r="Z17" s="197"/>
      <c r="AA17" s="200">
        <f>DATE(2024,12,25)</f>
        <v>45651</v>
      </c>
    </row>
    <row r="18" spans="1:32" x14ac:dyDescent="0.25">
      <c r="A18" s="154" t="str">
        <f t="shared" si="0"/>
        <v>Senior Solutions ConsultantUK</v>
      </c>
      <c r="B18" s="201" t="s">
        <v>61</v>
      </c>
      <c r="C18" s="156" t="s">
        <v>21</v>
      </c>
      <c r="D18" s="157">
        <v>1500</v>
      </c>
      <c r="E18" s="202">
        <f>E13</f>
        <v>2798.25</v>
      </c>
      <c r="F18" s="159">
        <f t="shared" si="1"/>
        <v>1800</v>
      </c>
      <c r="G18" s="157">
        <v>485</v>
      </c>
      <c r="H18" s="158">
        <f t="shared" si="2"/>
        <v>630.5</v>
      </c>
      <c r="I18" s="160">
        <f t="shared" si="3"/>
        <v>582</v>
      </c>
      <c r="J18" s="161">
        <f t="shared" si="4"/>
        <v>1.8654999999999999</v>
      </c>
      <c r="K18" s="161">
        <f t="shared" si="5"/>
        <v>1.2</v>
      </c>
      <c r="O18" s="223"/>
      <c r="P18" s="224"/>
      <c r="W18" s="183" t="s">
        <v>151</v>
      </c>
      <c r="Y18" s="203"/>
      <c r="Z18" s="203"/>
      <c r="AA18" s="203"/>
      <c r="AC18" s="204" t="s">
        <v>152</v>
      </c>
      <c r="AD18" s="204"/>
      <c r="AE18" s="205" t="e">
        <f>VLOOKUP(#REF!,'Rate Card &amp; Lookups'!$AC$10:$AE$16,3,FALSE)*100</f>
        <v>#REF!</v>
      </c>
      <c r="AF18" s="204" t="s">
        <v>53</v>
      </c>
    </row>
    <row r="19" spans="1:32" x14ac:dyDescent="0.25">
      <c r="A19" s="154" t="str">
        <f t="shared" si="0"/>
        <v>Solutions ConsultantUK</v>
      </c>
      <c r="B19" s="206" t="s">
        <v>62</v>
      </c>
      <c r="C19" s="207" t="s">
        <v>21</v>
      </c>
      <c r="D19" s="208">
        <v>1350</v>
      </c>
      <c r="E19" s="209">
        <f>E14</f>
        <v>2457</v>
      </c>
      <c r="F19" s="210">
        <f t="shared" si="1"/>
        <v>1620</v>
      </c>
      <c r="G19" s="208">
        <v>440</v>
      </c>
      <c r="H19" s="211">
        <f t="shared" si="2"/>
        <v>572</v>
      </c>
      <c r="I19" s="212">
        <f t="shared" si="3"/>
        <v>528</v>
      </c>
      <c r="J19" s="161">
        <f t="shared" si="4"/>
        <v>1.82</v>
      </c>
      <c r="K19" s="161">
        <f t="shared" si="5"/>
        <v>1.2</v>
      </c>
      <c r="O19" s="223"/>
      <c r="P19" s="224"/>
      <c r="W19" s="183" t="s">
        <v>153</v>
      </c>
      <c r="Y19" s="203"/>
      <c r="Z19" s="203"/>
      <c r="AA19" s="203"/>
    </row>
    <row r="20" spans="1:32" x14ac:dyDescent="0.25">
      <c r="A20" s="154" t="str">
        <f t="shared" si="0"/>
        <v>Principal Technology ArchitectIN</v>
      </c>
      <c r="B20" s="155" t="s">
        <v>58</v>
      </c>
      <c r="C20" s="156" t="s">
        <v>55</v>
      </c>
      <c r="D20" s="157">
        <v>650</v>
      </c>
      <c r="E20" s="202">
        <f>D20*$H$7</f>
        <v>845</v>
      </c>
      <c r="F20" s="159">
        <f t="shared" si="1"/>
        <v>780</v>
      </c>
      <c r="G20" s="157">
        <v>230</v>
      </c>
      <c r="H20" s="158">
        <f t="shared" si="2"/>
        <v>299</v>
      </c>
      <c r="I20" s="160">
        <f t="shared" si="3"/>
        <v>276</v>
      </c>
      <c r="J20" s="161">
        <f t="shared" si="4"/>
        <v>1.3</v>
      </c>
      <c r="K20" s="161">
        <f t="shared" si="5"/>
        <v>1.2</v>
      </c>
      <c r="O20" s="223"/>
      <c r="P20" s="224"/>
      <c r="W20" s="183" t="s">
        <v>154</v>
      </c>
      <c r="Y20" s="203"/>
      <c r="Z20" s="203"/>
      <c r="AA20" s="203"/>
    </row>
    <row r="21" spans="1:32" x14ac:dyDescent="0.25">
      <c r="A21" s="154" t="str">
        <f t="shared" si="0"/>
        <v>Technical Solutions ArchitectIN</v>
      </c>
      <c r="B21" s="175" t="s">
        <v>59</v>
      </c>
      <c r="C21" s="176" t="s">
        <v>55</v>
      </c>
      <c r="D21" s="177">
        <v>575</v>
      </c>
      <c r="E21" s="213">
        <f t="shared" ref="E21:E30" si="6">D21*$H$7</f>
        <v>747.5</v>
      </c>
      <c r="F21" s="179">
        <f t="shared" si="1"/>
        <v>690</v>
      </c>
      <c r="G21" s="177">
        <v>140</v>
      </c>
      <c r="H21" s="178">
        <f t="shared" si="2"/>
        <v>182</v>
      </c>
      <c r="I21" s="180">
        <f t="shared" si="3"/>
        <v>168</v>
      </c>
      <c r="J21" s="161">
        <f t="shared" si="4"/>
        <v>1.3</v>
      </c>
      <c r="K21" s="161">
        <f t="shared" si="5"/>
        <v>1.2</v>
      </c>
      <c r="O21" s="225"/>
      <c r="P21" s="226"/>
      <c r="W21" s="183" t="s">
        <v>58</v>
      </c>
      <c r="Y21" s="203"/>
      <c r="Z21" s="203"/>
      <c r="AA21" s="203"/>
    </row>
    <row r="22" spans="1:32" x14ac:dyDescent="0.25">
      <c r="A22" s="154" t="str">
        <f t="shared" si="0"/>
        <v>Senior Solutions ConsultantIN</v>
      </c>
      <c r="B22" s="175" t="s">
        <v>61</v>
      </c>
      <c r="C22" s="176" t="s">
        <v>55</v>
      </c>
      <c r="D22" s="177">
        <v>550</v>
      </c>
      <c r="E22" s="213">
        <f t="shared" si="6"/>
        <v>715</v>
      </c>
      <c r="F22" s="179">
        <f t="shared" si="1"/>
        <v>660</v>
      </c>
      <c r="G22" s="177">
        <v>110</v>
      </c>
      <c r="H22" s="178">
        <f t="shared" si="2"/>
        <v>143</v>
      </c>
      <c r="I22" s="180">
        <f t="shared" si="3"/>
        <v>132</v>
      </c>
      <c r="J22" s="161">
        <f t="shared" si="4"/>
        <v>1.3</v>
      </c>
      <c r="K22" s="161">
        <f t="shared" si="5"/>
        <v>1.2</v>
      </c>
      <c r="P22" s="214"/>
      <c r="W22" s="183" t="s">
        <v>59</v>
      </c>
      <c r="Y22" s="203"/>
      <c r="Z22" s="203"/>
      <c r="AA22" s="203"/>
    </row>
    <row r="23" spans="1:32" x14ac:dyDescent="0.25">
      <c r="A23" s="154" t="str">
        <f t="shared" si="0"/>
        <v>Solutions ConsultantIN</v>
      </c>
      <c r="B23" s="175" t="s">
        <v>62</v>
      </c>
      <c r="C23" s="176" t="s">
        <v>55</v>
      </c>
      <c r="D23" s="177">
        <v>525</v>
      </c>
      <c r="E23" s="213">
        <f t="shared" si="6"/>
        <v>682.5</v>
      </c>
      <c r="F23" s="179">
        <f t="shared" si="1"/>
        <v>630</v>
      </c>
      <c r="G23" s="177">
        <v>85</v>
      </c>
      <c r="H23" s="178">
        <f t="shared" si="2"/>
        <v>110.5</v>
      </c>
      <c r="I23" s="180">
        <f t="shared" si="3"/>
        <v>102</v>
      </c>
      <c r="J23" s="161">
        <f t="shared" si="4"/>
        <v>1.3</v>
      </c>
      <c r="K23" s="161">
        <f t="shared" si="5"/>
        <v>1.2</v>
      </c>
      <c r="P23" s="214"/>
      <c r="W23" s="183" t="s">
        <v>61</v>
      </c>
      <c r="Y23" s="203"/>
      <c r="Z23" s="203"/>
      <c r="AA23" s="203"/>
    </row>
    <row r="24" spans="1:32" x14ac:dyDescent="0.25">
      <c r="A24" s="154" t="str">
        <f t="shared" si="0"/>
        <v>Solutions EnablerIN</v>
      </c>
      <c r="B24" s="175" t="s">
        <v>155</v>
      </c>
      <c r="C24" s="176" t="s">
        <v>55</v>
      </c>
      <c r="D24" s="177">
        <v>525</v>
      </c>
      <c r="E24" s="213">
        <f t="shared" si="6"/>
        <v>682.5</v>
      </c>
      <c r="F24" s="179">
        <f t="shared" si="1"/>
        <v>630</v>
      </c>
      <c r="G24" s="177">
        <v>65</v>
      </c>
      <c r="H24" s="178">
        <f t="shared" si="2"/>
        <v>84.5</v>
      </c>
      <c r="I24" s="180">
        <f t="shared" si="3"/>
        <v>78</v>
      </c>
      <c r="J24" s="161">
        <f t="shared" si="4"/>
        <v>1.3</v>
      </c>
      <c r="K24" s="161">
        <f t="shared" si="5"/>
        <v>1.2</v>
      </c>
      <c r="P24" s="214"/>
      <c r="W24" s="183" t="s">
        <v>62</v>
      </c>
      <c r="Y24" s="203"/>
      <c r="Z24" s="203"/>
      <c r="AA24" s="203"/>
    </row>
    <row r="25" spans="1:32" x14ac:dyDescent="0.25">
      <c r="A25" s="154" t="str">
        <f t="shared" si="0"/>
        <v>Senior Software EngineerIN</v>
      </c>
      <c r="B25" s="175" t="s">
        <v>156</v>
      </c>
      <c r="C25" s="176" t="s">
        <v>55</v>
      </c>
      <c r="D25" s="177">
        <v>450</v>
      </c>
      <c r="E25" s="213">
        <f t="shared" si="6"/>
        <v>585</v>
      </c>
      <c r="F25" s="179">
        <f t="shared" si="1"/>
        <v>540</v>
      </c>
      <c r="G25" s="177">
        <v>45</v>
      </c>
      <c r="H25" s="178">
        <f t="shared" si="2"/>
        <v>58.5</v>
      </c>
      <c r="I25" s="180">
        <f t="shared" si="3"/>
        <v>54</v>
      </c>
      <c r="J25" s="161">
        <f t="shared" si="4"/>
        <v>1.3</v>
      </c>
      <c r="K25" s="161">
        <f t="shared" si="5"/>
        <v>1.2</v>
      </c>
      <c r="P25" s="214"/>
      <c r="W25" s="183" t="s">
        <v>155</v>
      </c>
      <c r="Y25" s="203"/>
      <c r="Z25" s="203"/>
      <c r="AA25" s="203"/>
    </row>
    <row r="26" spans="1:32" x14ac:dyDescent="0.25">
      <c r="A26" s="154" t="str">
        <f t="shared" si="0"/>
        <v>Software EngineerIN</v>
      </c>
      <c r="B26" s="175" t="s">
        <v>157</v>
      </c>
      <c r="C26" s="176" t="s">
        <v>55</v>
      </c>
      <c r="D26" s="177">
        <v>350</v>
      </c>
      <c r="E26" s="213">
        <f t="shared" si="6"/>
        <v>455</v>
      </c>
      <c r="F26" s="179">
        <f t="shared" si="1"/>
        <v>420</v>
      </c>
      <c r="G26" s="177">
        <v>35</v>
      </c>
      <c r="H26" s="178">
        <f t="shared" si="2"/>
        <v>45.5</v>
      </c>
      <c r="I26" s="180">
        <f t="shared" si="3"/>
        <v>42</v>
      </c>
      <c r="J26" s="161">
        <f t="shared" si="4"/>
        <v>1.3</v>
      </c>
      <c r="K26" s="161">
        <f t="shared" si="5"/>
        <v>1.2</v>
      </c>
      <c r="P26" s="214"/>
      <c r="W26" s="183" t="s">
        <v>156</v>
      </c>
      <c r="Y26" s="203"/>
      <c r="Z26" s="203"/>
      <c r="AA26" s="203"/>
    </row>
    <row r="27" spans="1:32" x14ac:dyDescent="0.25">
      <c r="A27" s="154" t="str">
        <f t="shared" si="0"/>
        <v>Intern TechnologyIN</v>
      </c>
      <c r="B27" s="215" t="s">
        <v>60</v>
      </c>
      <c r="C27" s="207" t="s">
        <v>55</v>
      </c>
      <c r="D27" s="208">
        <v>300</v>
      </c>
      <c r="E27" s="209">
        <f t="shared" si="6"/>
        <v>390</v>
      </c>
      <c r="F27" s="210">
        <f t="shared" si="1"/>
        <v>360</v>
      </c>
      <c r="G27" s="208">
        <v>20</v>
      </c>
      <c r="H27" s="211">
        <f t="shared" si="2"/>
        <v>26</v>
      </c>
      <c r="I27" s="212">
        <f t="shared" si="3"/>
        <v>24</v>
      </c>
      <c r="J27" s="161">
        <f t="shared" si="4"/>
        <v>1.3</v>
      </c>
      <c r="K27" s="161">
        <f t="shared" si="5"/>
        <v>1.2</v>
      </c>
      <c r="P27" s="214"/>
      <c r="W27" s="183" t="s">
        <v>157</v>
      </c>
      <c r="Y27" s="203"/>
      <c r="Z27" s="203"/>
      <c r="AA27" s="203"/>
    </row>
    <row r="28" spans="1:32" x14ac:dyDescent="0.25">
      <c r="A28" s="154" t="str">
        <f t="shared" si="0"/>
        <v>ConsultantIN</v>
      </c>
      <c r="B28" s="216" t="s">
        <v>54</v>
      </c>
      <c r="C28" s="176" t="s">
        <v>55</v>
      </c>
      <c r="D28" s="177">
        <v>525</v>
      </c>
      <c r="E28" s="213">
        <f t="shared" si="6"/>
        <v>682.5</v>
      </c>
      <c r="F28" s="179">
        <f t="shared" si="1"/>
        <v>630</v>
      </c>
      <c r="G28" s="177">
        <v>70</v>
      </c>
      <c r="H28" s="178">
        <f t="shared" si="2"/>
        <v>91</v>
      </c>
      <c r="I28" s="180">
        <f t="shared" si="3"/>
        <v>84</v>
      </c>
      <c r="J28" s="161">
        <f t="shared" si="4"/>
        <v>1.3</v>
      </c>
      <c r="K28" s="161">
        <f t="shared" si="5"/>
        <v>1.2</v>
      </c>
      <c r="P28" s="214"/>
      <c r="W28" s="217" t="s">
        <v>60</v>
      </c>
      <c r="Y28" s="203"/>
      <c r="Z28" s="203"/>
      <c r="AA28" s="203"/>
    </row>
    <row r="29" spans="1:32" x14ac:dyDescent="0.25">
      <c r="A29" s="154" t="str">
        <f t="shared" si="0"/>
        <v>Senior Associate ConsultantIN</v>
      </c>
      <c r="B29" s="216" t="s">
        <v>56</v>
      </c>
      <c r="C29" s="176" t="s">
        <v>55</v>
      </c>
      <c r="D29" s="177">
        <v>525</v>
      </c>
      <c r="E29" s="213">
        <f t="shared" si="6"/>
        <v>682.5</v>
      </c>
      <c r="F29" s="179">
        <f t="shared" si="1"/>
        <v>630</v>
      </c>
      <c r="G29" s="177">
        <v>55</v>
      </c>
      <c r="H29" s="178">
        <f t="shared" si="2"/>
        <v>71.5</v>
      </c>
      <c r="I29" s="180">
        <f t="shared" si="3"/>
        <v>66</v>
      </c>
      <c r="J29" s="161">
        <f t="shared" si="4"/>
        <v>1.3</v>
      </c>
      <c r="K29" s="161">
        <f t="shared" si="5"/>
        <v>1.2</v>
      </c>
      <c r="P29" s="214"/>
      <c r="W29" s="218"/>
      <c r="Y29" s="203"/>
      <c r="Z29" s="203"/>
      <c r="AA29" s="203"/>
    </row>
    <row r="30" spans="1:32" x14ac:dyDescent="0.25">
      <c r="A30" s="154" t="str">
        <f t="shared" si="0"/>
        <v>Associate ConsultantIN</v>
      </c>
      <c r="B30" s="216" t="s">
        <v>57</v>
      </c>
      <c r="C30" s="176" t="s">
        <v>55</v>
      </c>
      <c r="D30" s="177">
        <v>450</v>
      </c>
      <c r="E30" s="213">
        <f t="shared" si="6"/>
        <v>585</v>
      </c>
      <c r="F30" s="179">
        <f t="shared" si="1"/>
        <v>540</v>
      </c>
      <c r="G30" s="177">
        <v>45</v>
      </c>
      <c r="H30" s="178">
        <f t="shared" si="2"/>
        <v>58.5</v>
      </c>
      <c r="I30" s="180">
        <f t="shared" si="3"/>
        <v>54</v>
      </c>
      <c r="J30" s="161">
        <f t="shared" si="4"/>
        <v>1.3</v>
      </c>
      <c r="K30" s="161">
        <f t="shared" si="5"/>
        <v>1.2</v>
      </c>
      <c r="P30" s="214"/>
      <c r="W30" s="218"/>
      <c r="Y30" s="203"/>
      <c r="Z30" s="203"/>
      <c r="AA30" s="203"/>
    </row>
    <row r="31" spans="1:32" x14ac:dyDescent="0.25">
      <c r="A31" s="154" t="str">
        <f t="shared" si="0"/>
        <v>Associate PartnerUSA</v>
      </c>
      <c r="B31" s="155" t="s">
        <v>127</v>
      </c>
      <c r="C31" s="156" t="s">
        <v>63</v>
      </c>
      <c r="D31" s="157">
        <v>2712.5</v>
      </c>
      <c r="E31" s="158">
        <f t="shared" ref="E31:E38" si="7">E10</f>
        <v>3526.25</v>
      </c>
      <c r="F31" s="159">
        <f>D31*$I$7</f>
        <v>3255</v>
      </c>
      <c r="G31" s="157">
        <v>1345</v>
      </c>
      <c r="H31" s="158">
        <f t="shared" si="2"/>
        <v>1748.5</v>
      </c>
      <c r="I31" s="160">
        <f>H31*$H$7/$I$7</f>
        <v>1894.2083333333335</v>
      </c>
      <c r="J31" s="161">
        <f t="shared" si="4"/>
        <v>1.3</v>
      </c>
      <c r="K31" s="161">
        <f t="shared" si="5"/>
        <v>1.2</v>
      </c>
      <c r="P31" s="214"/>
      <c r="W31" s="218"/>
      <c r="Y31" s="203"/>
      <c r="Z31" s="203"/>
      <c r="AA31" s="203"/>
    </row>
    <row r="32" spans="1:32" x14ac:dyDescent="0.25">
      <c r="A32" s="154" t="str">
        <f t="shared" si="0"/>
        <v>PrincipalUSA</v>
      </c>
      <c r="B32" s="175" t="s">
        <v>132</v>
      </c>
      <c r="C32" s="176" t="s">
        <v>63</v>
      </c>
      <c r="D32" s="177">
        <v>2487.5</v>
      </c>
      <c r="E32" s="178">
        <f t="shared" si="7"/>
        <v>3233.75</v>
      </c>
      <c r="F32" s="179">
        <f t="shared" ref="F32:F39" si="8">D32*$I$7</f>
        <v>2985</v>
      </c>
      <c r="G32" s="177">
        <v>945</v>
      </c>
      <c r="H32" s="178">
        <f t="shared" si="2"/>
        <v>1228.5</v>
      </c>
      <c r="I32" s="180">
        <f t="shared" ref="I32:I39" si="9">H32*$H$7/$I$7</f>
        <v>1330.875</v>
      </c>
      <c r="J32" s="161">
        <f t="shared" si="4"/>
        <v>1.3</v>
      </c>
      <c r="K32" s="161">
        <f t="shared" si="5"/>
        <v>1.2</v>
      </c>
      <c r="P32" s="214"/>
      <c r="W32" s="218"/>
      <c r="Y32" s="203"/>
      <c r="Z32" s="203"/>
      <c r="AA32" s="203"/>
    </row>
    <row r="33" spans="1:27" x14ac:dyDescent="0.25">
      <c r="A33" s="154" t="str">
        <f t="shared" si="0"/>
        <v>ManagerUSA</v>
      </c>
      <c r="B33" s="175" t="s">
        <v>137</v>
      </c>
      <c r="C33" s="176" t="s">
        <v>63</v>
      </c>
      <c r="D33" s="177">
        <v>2295</v>
      </c>
      <c r="E33" s="178">
        <f t="shared" si="7"/>
        <v>2983.5</v>
      </c>
      <c r="F33" s="179">
        <f t="shared" si="8"/>
        <v>2754</v>
      </c>
      <c r="G33" s="177">
        <v>790</v>
      </c>
      <c r="H33" s="178">
        <f t="shared" si="2"/>
        <v>1027</v>
      </c>
      <c r="I33" s="180">
        <f t="shared" si="9"/>
        <v>1112.5833333333335</v>
      </c>
      <c r="J33" s="161">
        <f t="shared" si="4"/>
        <v>1.3</v>
      </c>
      <c r="K33" s="161">
        <f t="shared" si="5"/>
        <v>1.2</v>
      </c>
      <c r="P33" s="214"/>
      <c r="Y33" s="203"/>
      <c r="Z33" s="203"/>
      <c r="AA33" s="203"/>
    </row>
    <row r="34" spans="1:27" x14ac:dyDescent="0.25">
      <c r="A34" s="154" t="str">
        <f t="shared" si="0"/>
        <v>Senior ConsultantUSA</v>
      </c>
      <c r="B34" s="175" t="s">
        <v>142</v>
      </c>
      <c r="C34" s="176" t="s">
        <v>63</v>
      </c>
      <c r="D34" s="177">
        <v>2152.5</v>
      </c>
      <c r="E34" s="178">
        <f t="shared" si="7"/>
        <v>2798.25</v>
      </c>
      <c r="F34" s="179">
        <f t="shared" si="8"/>
        <v>2583</v>
      </c>
      <c r="G34" s="177">
        <v>640</v>
      </c>
      <c r="H34" s="178">
        <f t="shared" si="2"/>
        <v>832</v>
      </c>
      <c r="I34" s="180">
        <f t="shared" si="9"/>
        <v>901.33333333333348</v>
      </c>
      <c r="J34" s="161">
        <f t="shared" si="4"/>
        <v>1.3</v>
      </c>
      <c r="K34" s="161">
        <f t="shared" si="5"/>
        <v>1.2</v>
      </c>
      <c r="P34" s="214"/>
      <c r="Y34" s="203"/>
      <c r="Z34" s="203"/>
      <c r="AA34" s="203"/>
    </row>
    <row r="35" spans="1:27" x14ac:dyDescent="0.25">
      <c r="A35" s="154" t="str">
        <f t="shared" si="0"/>
        <v>ConsultantUSA</v>
      </c>
      <c r="B35" s="175" t="s">
        <v>54</v>
      </c>
      <c r="C35" s="176" t="s">
        <v>63</v>
      </c>
      <c r="D35" s="177">
        <v>1890</v>
      </c>
      <c r="E35" s="178">
        <f t="shared" si="7"/>
        <v>2457</v>
      </c>
      <c r="F35" s="179">
        <f t="shared" si="8"/>
        <v>2268</v>
      </c>
      <c r="G35" s="177">
        <v>560</v>
      </c>
      <c r="H35" s="178">
        <f t="shared" si="2"/>
        <v>728</v>
      </c>
      <c r="I35" s="180">
        <f t="shared" si="9"/>
        <v>788.66666666666663</v>
      </c>
      <c r="J35" s="161">
        <f t="shared" si="4"/>
        <v>1.3</v>
      </c>
      <c r="K35" s="161">
        <f t="shared" si="5"/>
        <v>1.2</v>
      </c>
      <c r="P35" s="214"/>
      <c r="Y35" s="203"/>
      <c r="Z35" s="203"/>
      <c r="AA35" s="203"/>
    </row>
    <row r="36" spans="1:27" x14ac:dyDescent="0.25">
      <c r="A36" s="154" t="str">
        <f t="shared" si="0"/>
        <v>Senior Associate ConsultantUSA</v>
      </c>
      <c r="B36" s="175" t="s">
        <v>56</v>
      </c>
      <c r="C36" s="176" t="s">
        <v>63</v>
      </c>
      <c r="D36" s="177">
        <v>1522.5</v>
      </c>
      <c r="E36" s="178">
        <f t="shared" si="7"/>
        <v>1979.25</v>
      </c>
      <c r="F36" s="179">
        <f t="shared" si="8"/>
        <v>1827</v>
      </c>
      <c r="G36" s="177">
        <v>450</v>
      </c>
      <c r="H36" s="178">
        <f t="shared" si="2"/>
        <v>585</v>
      </c>
      <c r="I36" s="180">
        <f t="shared" si="9"/>
        <v>633.75</v>
      </c>
      <c r="J36" s="161">
        <f t="shared" si="4"/>
        <v>1.3</v>
      </c>
      <c r="K36" s="161">
        <f t="shared" si="5"/>
        <v>1.2</v>
      </c>
      <c r="O36" s="219"/>
      <c r="P36" s="214"/>
      <c r="Y36" s="203"/>
      <c r="Z36" s="203"/>
      <c r="AA36" s="203"/>
    </row>
    <row r="37" spans="1:27" x14ac:dyDescent="0.25">
      <c r="A37" s="154" t="str">
        <f t="shared" si="0"/>
        <v>Associate ConsultantUSA</v>
      </c>
      <c r="B37" s="175" t="s">
        <v>57</v>
      </c>
      <c r="C37" s="176" t="s">
        <v>63</v>
      </c>
      <c r="D37" s="177">
        <v>1435</v>
      </c>
      <c r="E37" s="178">
        <f t="shared" si="7"/>
        <v>1865.5</v>
      </c>
      <c r="F37" s="179">
        <f t="shared" si="8"/>
        <v>1722</v>
      </c>
      <c r="G37" s="177">
        <v>425</v>
      </c>
      <c r="H37" s="178">
        <f t="shared" si="2"/>
        <v>552.5</v>
      </c>
      <c r="I37" s="180">
        <f t="shared" si="9"/>
        <v>598.54166666666674</v>
      </c>
      <c r="J37" s="161">
        <f t="shared" si="4"/>
        <v>1.3</v>
      </c>
      <c r="K37" s="161">
        <f t="shared" si="5"/>
        <v>1.2</v>
      </c>
      <c r="O37" s="219"/>
      <c r="P37" s="214"/>
      <c r="Y37" s="203"/>
      <c r="Z37" s="203"/>
      <c r="AA37" s="203"/>
    </row>
    <row r="38" spans="1:27" x14ac:dyDescent="0.25">
      <c r="A38" s="154" t="str">
        <f t="shared" si="0"/>
        <v>InternUSA</v>
      </c>
      <c r="B38" s="175" t="s">
        <v>151</v>
      </c>
      <c r="C38" s="176" t="s">
        <v>63</v>
      </c>
      <c r="D38" s="177">
        <v>1435</v>
      </c>
      <c r="E38" s="178">
        <f t="shared" si="7"/>
        <v>1865.5</v>
      </c>
      <c r="F38" s="179">
        <f t="shared" si="8"/>
        <v>1722</v>
      </c>
      <c r="G38" s="177">
        <v>365</v>
      </c>
      <c r="H38" s="178">
        <f t="shared" si="2"/>
        <v>474.5</v>
      </c>
      <c r="I38" s="180">
        <f t="shared" si="9"/>
        <v>514.04166666666674</v>
      </c>
      <c r="J38" s="161">
        <f t="shared" si="4"/>
        <v>1.3</v>
      </c>
      <c r="K38" s="161">
        <f t="shared" si="5"/>
        <v>1.2</v>
      </c>
      <c r="O38" s="219"/>
      <c r="P38" s="214"/>
      <c r="Y38" s="203"/>
      <c r="Z38" s="203"/>
      <c r="AA38" s="203"/>
    </row>
    <row r="39" spans="1:27" x14ac:dyDescent="0.25">
      <c r="A39" s="154" t="str">
        <f t="shared" si="0"/>
        <v>Technical Solutions ArchitectUSA</v>
      </c>
      <c r="B39" s="220" t="s">
        <v>59</v>
      </c>
      <c r="C39" s="207" t="s">
        <v>63</v>
      </c>
      <c r="D39" s="208">
        <v>2487.5</v>
      </c>
      <c r="E39" s="209">
        <f>D39*$H$7</f>
        <v>3233.75</v>
      </c>
      <c r="F39" s="210">
        <f t="shared" si="8"/>
        <v>2985</v>
      </c>
      <c r="G39" s="208">
        <v>955</v>
      </c>
      <c r="H39" s="211">
        <f t="shared" si="2"/>
        <v>1241.5</v>
      </c>
      <c r="I39" s="212">
        <f t="shared" si="9"/>
        <v>1344.9583333333335</v>
      </c>
      <c r="J39" s="161">
        <f t="shared" si="4"/>
        <v>1.3</v>
      </c>
      <c r="K39" s="161">
        <f t="shared" si="5"/>
        <v>1.2</v>
      </c>
      <c r="O39" s="219"/>
      <c r="Y39" s="203"/>
      <c r="Z39" s="203"/>
      <c r="AA39" s="203"/>
    </row>
    <row r="40" spans="1:27" x14ac:dyDescent="0.25">
      <c r="O40" s="219"/>
      <c r="Y40" s="203"/>
      <c r="Z40" s="203"/>
      <c r="AA40" s="203"/>
    </row>
    <row r="41" spans="1:27" x14ac:dyDescent="0.25">
      <c r="O41" s="219"/>
      <c r="Y41" s="203"/>
      <c r="Z41" s="203"/>
      <c r="AA41" s="203"/>
    </row>
    <row r="42" spans="1:27" ht="23" x14ac:dyDescent="0.25">
      <c r="B42" s="221" t="s">
        <v>158</v>
      </c>
      <c r="O42" s="219"/>
      <c r="Y42" s="203"/>
      <c r="Z42" s="203"/>
      <c r="AA42" s="203"/>
    </row>
    <row r="43" spans="1:27" x14ac:dyDescent="0.25">
      <c r="B43" s="222">
        <v>0.03</v>
      </c>
      <c r="O43" s="219"/>
      <c r="Y43" s="203"/>
      <c r="Z43" s="203"/>
      <c r="AA43" s="203"/>
    </row>
    <row r="44" spans="1:27" x14ac:dyDescent="0.25">
      <c r="O44" s="219"/>
    </row>
    <row r="45" spans="1:27" x14ac:dyDescent="0.25">
      <c r="O45" s="219"/>
    </row>
    <row r="46" spans="1:27" x14ac:dyDescent="0.25">
      <c r="O46" s="219"/>
    </row>
    <row r="47" spans="1:27" x14ac:dyDescent="0.25">
      <c r="O47" s="219"/>
    </row>
    <row r="48" spans="1:27" x14ac:dyDescent="0.25">
      <c r="O48" s="219"/>
    </row>
    <row r="49" spans="15:15" x14ac:dyDescent="0.25">
      <c r="O49" s="219"/>
    </row>
    <row r="50" spans="15:15" x14ac:dyDescent="0.25">
      <c r="O50" s="219"/>
    </row>
    <row r="51" spans="15:15" x14ac:dyDescent="0.25">
      <c r="O51" s="219"/>
    </row>
    <row r="52" spans="15:15" x14ac:dyDescent="0.25">
      <c r="O52" s="219"/>
    </row>
  </sheetData>
  <autoFilter ref="O9:P9" xr:uid="{68DD1FDE-5EF4-4B08-AE1A-EE0424128CA8}">
    <sortState xmlns:xlrd2="http://schemas.microsoft.com/office/spreadsheetml/2017/richdata2" ref="O10:P16">
      <sortCondition ref="O9"/>
    </sortState>
  </autoFilter>
  <mergeCells count="3">
    <mergeCell ref="D8:E8"/>
    <mergeCell ref="G8:H8"/>
    <mergeCell ref="Y8:AA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gnedOff xmlns="2456dc46-8947-4d6b-b004-dfd73fc159fd" xsi:nil="true"/>
    <TaxKeywordTaxHTField xmlns="129c0084-c7fc-4643-8158-88ab432b6090">
      <Terms xmlns="http://schemas.microsoft.com/office/infopath/2007/PartnerControls"/>
    </TaxKeywordTaxHTField>
    <Enddate xmlns="2456dc46-8947-4d6b-b004-dfd73fc159fd" xsi:nil="true"/>
    <ClientName xmlns="2456dc46-8947-4d6b-b004-dfd73fc159fd" xsi:nil="true"/>
    <CaseStudyType xmlns="2456dc46-8947-4d6b-b004-dfd73fc159fd" xsi:nil="true"/>
    <TechnologyCoE xmlns="2456dc46-8947-4d6b-b004-dfd73fc159fd" xsi:nil="true"/>
    <MasterClientName xmlns="2456dc46-8947-4d6b-b004-dfd73fc159fd" xsi:nil="true"/>
    <Startdate xmlns="2456dc46-8947-4d6b-b004-dfd73fc159fd" xsi:nil="true"/>
    <Deletematerials xmlns="2456dc46-8947-4d6b-b004-dfd73fc159fd">false</Deletematerials>
    <Tools xmlns="2456dc46-8947-4d6b-b004-dfd73fc159fd" xsi:nil="true"/>
    <Industry xmlns="2456dc46-8947-4d6b-b004-dfd73fc159fd" xsi:nil="true"/>
    <TaxCatchAll xmlns="129c0084-c7fc-4643-8158-88ab432b6090" xsi:nil="true"/>
    <lcf76f155ced4ddcb4097134ff3c332f xmlns="2456dc46-8947-4d6b-b004-dfd73fc159fd">
      <Terms xmlns="http://schemas.microsoft.com/office/infopath/2007/PartnerControls"/>
    </lcf76f155ced4ddcb4097134ff3c332f>
    <Proposition xmlns="2456dc46-8947-4d6b-b004-dfd73fc159f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06C5AC1457D468F4B05B6CAAEF7CB" ma:contentTypeVersion="40" ma:contentTypeDescription="Create a new document." ma:contentTypeScope="" ma:versionID="2725031749a87a1d422d4ab35e34744a">
  <xsd:schema xmlns:xsd="http://www.w3.org/2001/XMLSchema" xmlns:xs="http://www.w3.org/2001/XMLSchema" xmlns:p="http://schemas.microsoft.com/office/2006/metadata/properties" xmlns:ns1="http://schemas.microsoft.com/sharepoint/v3" xmlns:ns2="2456dc46-8947-4d6b-b004-dfd73fc159fd" xmlns:ns3="129c0084-c7fc-4643-8158-88ab432b6090" targetNamespace="http://schemas.microsoft.com/office/2006/metadata/properties" ma:root="true" ma:fieldsID="fe7a49cb61ad41126b002a71bbffe5a3" ns1:_="" ns2:_="" ns3:_="">
    <xsd:import namespace="http://schemas.microsoft.com/sharepoint/v3"/>
    <xsd:import namespace="2456dc46-8947-4d6b-b004-dfd73fc159fd"/>
    <xsd:import namespace="129c0084-c7fc-4643-8158-88ab432b6090"/>
    <xsd:element name="properties">
      <xsd:complexType>
        <xsd:sequence>
          <xsd:element name="documentManagement">
            <xsd:complexType>
              <xsd:all>
                <xsd:element ref="ns2:Industry" minOccurs="0"/>
                <xsd:element ref="ns2:ClientName" minOccurs="0"/>
                <xsd:element ref="ns2:Tools" minOccurs="0"/>
                <xsd:element ref="ns2:MasterClientName" minOccurs="0"/>
                <xsd:element ref="ns2:Proposition" minOccurs="0"/>
                <xsd:element ref="ns2:CaseStudyType" minOccurs="0"/>
                <xsd:element ref="ns2:Startdate" minOccurs="0"/>
                <xsd:element ref="ns2:Enddate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TaxKeywordTaxHTField" minOccurs="0"/>
                <xsd:element ref="ns2:MediaServiceObjectDetectorVersions" minOccurs="0"/>
                <xsd:element ref="ns2:MediaServiceMetadata" minOccurs="0"/>
                <xsd:element ref="ns2:SignedOff" minOccurs="0"/>
                <xsd:element ref="ns2:MediaServiceSearchProperties" minOccurs="0"/>
                <xsd:element ref="ns2:Deletematerials" minOccurs="0"/>
                <xsd:element ref="ns2:MediaServiceFastMetadata" minOccurs="0"/>
                <xsd:element ref="ns2:MediaServiceAutoKeyPoints" minOccurs="0"/>
                <xsd:element ref="ns2:TechnologyCo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6dc46-8947-4d6b-b004-dfd73fc159fd" elementFormDefault="qualified">
    <xsd:import namespace="http://schemas.microsoft.com/office/2006/documentManagement/types"/>
    <xsd:import namespace="http://schemas.microsoft.com/office/infopath/2007/PartnerControls"/>
    <xsd:element name="Industry" ma:index="2" nillable="true" ma:displayName="Industry" ma:format="Dropdown" ma:internalName="Indust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arity"/>
                    <xsd:enumeration value="eCommerce"/>
                    <xsd:enumeration value="Education"/>
                    <xsd:enumeration value="Healthcare"/>
                    <xsd:enumeration value="Life Science"/>
                    <xsd:enumeration value="Manufacturing"/>
                    <xsd:enumeration value="Marketing"/>
                    <xsd:enumeration value="PE"/>
                    <xsd:enumeration value="Pharma"/>
                    <xsd:enumeration value="Pharma Logistics"/>
                    <xsd:enumeration value="Retail"/>
                    <xsd:enumeration value="SaaS"/>
                    <xsd:enumeration value="Telecoms"/>
                    <xsd:enumeration value="Automotive"/>
                    <xsd:enumeration value="IT"/>
                    <xsd:enumeration value="Technology"/>
                    <xsd:enumeration value="Financial Services"/>
                    <xsd:enumeration value="Webhosting"/>
                    <xsd:enumeration value="Payments"/>
                    <xsd:enumeration value="Legal/ Compliance"/>
                    <xsd:enumeration value="Traffic Management"/>
                  </xsd:restriction>
                </xsd:simpleType>
              </xsd:element>
            </xsd:sequence>
          </xsd:extension>
        </xsd:complexContent>
      </xsd:complexType>
    </xsd:element>
    <xsd:element name="ClientName" ma:index="3" nillable="true" ma:displayName="Client Name" ma:format="Dropdown" ma:internalName="ClientName">
      <xsd:simpleType>
        <xsd:union memberTypes="dms:Text">
          <xsd:simpleType>
            <xsd:restriction base="dms:Choice">
              <xsd:enumeration value="NKD"/>
              <xsd:enumeration value="Miss Group"/>
              <xsd:enumeration value="180medical"/>
              <xsd:enumeration value="A2Mac1"/>
              <xsd:enumeration value="Accell"/>
              <xsd:enumeration value="Agilio"/>
              <xsd:enumeration value="Air IT"/>
              <xsd:enumeration value="Ambassador Cruise Line"/>
              <xsd:enumeration value="Amtivo"/>
              <xsd:enumeration value="Arrow Business Communications"/>
              <xsd:enumeration value="Arxada"/>
              <xsd:enumeration value="Asda"/>
              <xsd:enumeration value="AstraZeneca"/>
              <xsd:enumeration value="Barentz"/>
              <xsd:enumeration value="Bootstrappers.mn"/>
              <xsd:enumeration value="Bright"/>
              <xsd:enumeration value="Cambi"/>
              <xsd:enumeration value="CaseWare"/>
              <xsd:enumeration value="Centralis Group"/>
              <xsd:enumeration value="Chevron TM"/>
              <xsd:enumeration value="Cielo"/>
              <xsd:enumeration value="Cinch"/>
              <xsd:enumeration value="CIPHR"/>
              <xsd:enumeration value="Citation Group"/>
              <xsd:enumeration value="Clinigen Group"/>
              <xsd:enumeration value="Consolidated"/>
              <xsd:enumeration value="Croft Communications"/>
              <xsd:enumeration value="Cyncly"/>
              <xsd:enumeration value="David Lloyd Leisure"/>
              <xsd:enumeration value="Deliveroo"/>
              <xsd:enumeration value="Ecosurety"/>
              <xsd:enumeration value="Enhesa"/>
              <xsd:enumeration value="Eurofins Scientific"/>
              <xsd:enumeration value="Firetree Chocolate"/>
              <xsd:enumeration value="Flowbird Group"/>
              <xsd:enumeration value="G2"/>
              <xsd:enumeration value="Garolla"/>
              <xsd:enumeration value="Genflow"/>
              <xsd:enumeration value="GES"/>
              <xsd:enumeration value="Hg Capital"/>
              <xsd:enumeration value="HHA eXchange"/>
              <xsd:enumeration value="Hunt Companies"/>
              <xsd:enumeration value="Ignite Hubs"/>
              <xsd:enumeration value="Imaweb"/>
              <xsd:enumeration value="IRIS"/>
              <xsd:enumeration value="Jaggaer"/>
              <xsd:enumeration value="Choice 47"/>
              <xsd:enumeration value="JMAN Group"/>
              <xsd:enumeration value="JMAN Group Limited"/>
              <xsd:enumeration value="Kerv"/>
              <xsd:enumeration value="KidsKonnect"/>
              <xsd:enumeration value="Klarian"/>
              <xsd:enumeration value="Lawyers on Demand"/>
              <xsd:enumeration value="LeMieux"/>
              <xsd:enumeration value="Litera"/>
              <xsd:enumeration value="Lowe Rental"/>
              <xsd:enumeration value="M247"/>
              <xsd:enumeration value="Merkal"/>
              <xsd:enumeration value="Mitel Networks"/>
              <xsd:enumeration value="Murgitroyd"/>
              <xsd:enumeration value="Nalanda"/>
              <xsd:enumeration value="myConsole Ltd"/>
              <xsd:enumeration value="Nasstar"/>
              <xsd:enumeration value="NEG"/>
              <xsd:enumeration value="Netsmart"/>
              <xsd:enumeration value="Nitel"/>
              <xsd:enumeration value="Noon"/>
              <xsd:enumeration value="OverIT"/>
              <xsd:enumeration value="Partnerize"/>
              <xsd:enumeration value="Perspective Financial Group"/>
              <xsd:enumeration value="Planet"/>
              <xsd:enumeration value="Purplebricks Group Plc"/>
              <xsd:enumeration value="Quotient Sciences"/>
              <xsd:enumeration value="RAM Tracking"/>
              <xsd:enumeration value="Recdirec"/>
              <xsd:enumeration value="RLDatix"/>
              <xsd:enumeration value="RMC Legal"/>
              <xsd:enumeration value="Sovos"/>
              <xsd:enumeration value="Stonegate"/>
              <xsd:enumeration value="STRAT7"/>
              <xsd:enumeration value="Studio Retail, Ltd."/>
              <xsd:enumeration value="Subsea Tech Rental"/>
              <xsd:enumeration value="Survitec Group Limited"/>
              <xsd:enumeration value="Sygnature Discovery"/>
              <xsd:enumeration value="Sykes Cottages"/>
              <xsd:enumeration value="Synergy"/>
              <xsd:enumeration value="Tax Systems"/>
              <xsd:enumeration value="The PSC"/>
              <xsd:enumeration value="Thor Companies Ltd"/>
              <xsd:enumeration value="thoroughbred.net"/>
              <xsd:enumeration value="TLP Wales"/>
              <xsd:enumeration value="Ticketer"/>
              <xsd:enumeration value="Totalmobile"/>
              <xsd:enumeration value="Transparity"/>
              <xsd:enumeration value="Troostwijk"/>
              <xsd:enumeration value="upReach"/>
              <xsd:enumeration value="Urban SDK"/>
              <xsd:enumeration value="Viatel"/>
              <xsd:enumeration value="Wavenet"/>
              <xsd:enumeration value="Whittard"/>
              <xsd:enumeration value="Whoz"/>
              <xsd:enumeration value="Wipit.io"/>
              <xsd:enumeration value="World Courier"/>
              <xsd:enumeration value="With Intelligence"/>
              <xsd:enumeration value="WSD"/>
              <xsd:enumeration value="Yogiyo"/>
              <xsd:enumeration value="Zenchef"/>
              <xsd:enumeration value="Zendesk"/>
              <xsd:enumeration value="MiQ"/>
              <xsd:enumeration value="Freemarket"/>
              <xsd:enumeration value="Motus"/>
            </xsd:restriction>
          </xsd:simpleType>
        </xsd:union>
      </xsd:simpleType>
    </xsd:element>
    <xsd:element name="Tools" ma:index="4" nillable="true" ma:displayName="Technology" ma:format="Dropdown" ma:internalName="Tool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QL"/>
                    <xsd:enumeration value="Python"/>
                    <xsd:enumeration value="Alteryx"/>
                    <xsd:enumeration value="Knime"/>
                    <xsd:enumeration value="Matillion"/>
                    <xsd:enumeration value="dbt"/>
                    <xsd:enumeration value="Tableau"/>
                    <xsd:enumeration value="PowerBI"/>
                    <xsd:enumeration value="Stitcher"/>
                    <xsd:enumeration value="Fivetran"/>
                    <xsd:enumeration value="AWS Redshift"/>
                    <xsd:enumeration value="Databricks"/>
                    <xsd:enumeration value="Excel"/>
                    <xsd:enumeration value="PowerPoint"/>
                    <xsd:enumeration value="Azure Synapse Analytics"/>
                    <xsd:enumeration value="Amazon S3"/>
                    <xsd:enumeration value="Amazon EMR"/>
                    <xsd:enumeration value="Looker"/>
                    <xsd:enumeration value="Slack"/>
                    <xsd:enumeration value="Snowflake"/>
                    <xsd:enumeration value="LLM"/>
                    <xsd:enumeration value="Azure VM"/>
                    <xsd:enumeration value="Power Apps"/>
                  </xsd:restriction>
                </xsd:simpleType>
              </xsd:element>
            </xsd:sequence>
          </xsd:extension>
        </xsd:complexContent>
      </xsd:complexType>
    </xsd:element>
    <xsd:element name="MasterClientName" ma:index="5" nillable="true" ma:displayName="Master Client Name" ma:format="Dropdown" ma:internalName="MasterClientName" ma:readOnly="false">
      <xsd:simpleType>
        <xsd:restriction base="dms:Choice">
          <xsd:enumeration value="ACCEL-KKR"/>
          <xsd:enumeration value="Advent International"/>
          <xsd:enumeration value="AmerisourceBergen Corporation"/>
          <xsd:enumeration value="August Equity"/>
          <xsd:enumeration value="Bain Capital"/>
          <xsd:enumeration value="Baird Capital"/>
          <xsd:enumeration value="Beech Tree Private Equity"/>
          <xsd:enumeration value="Bowmark Capital"/>
          <xsd:enumeration value="Business Growth Fund"/>
          <xsd:enumeration value="CBPE"/>
          <xsd:enumeration value="CGE Partners"/>
          <xsd:enumeration value="Charterhouse PE"/>
          <xsd:enumeration value="Chirisa Capital Management"/>
          <xsd:enumeration value="Cinven"/>
          <xsd:enumeration value="ECI Partners"/>
          <xsd:enumeration value="EPIC Private Equity LLP"/>
          <xsd:enumeration value="Fraser Group"/>
          <xsd:enumeration value="H2 Equity Partners"/>
          <xsd:enumeration value="Hg Capital"/>
          <xsd:enumeration value="Horizon Capital"/>
          <xsd:enumeration value="Intermediate Capital Group"/>
          <xsd:enumeration value="Kohlberg Kravis Roberts &amp; Co. L.P."/>
          <xsd:enumeration value="LDC"/>
          <xsd:enumeration value="Livingbridge"/>
          <xsd:enumeration value="Macquarie Group Limited"/>
          <xsd:enumeration value="Mayfair Equity Partners"/>
          <xsd:enumeration value="MML Capital Partners"/>
          <xsd:enumeration value="Njord Partners"/>
          <xsd:enumeration value="OpCapita"/>
          <xsd:enumeration value="Permira"/>
          <xsd:enumeration value="Perwyn"/>
          <xsd:enumeration value="PSG Equity"/>
          <xsd:enumeration value="Public Investment Fund"/>
          <xsd:enumeration value="Rothschilds &amp; Co"/>
          <xsd:enumeration value="Searchlight Capital"/>
          <xsd:enumeration value="Sovereign Capital"/>
          <xsd:enumeration value="Synova"/>
          <xsd:enumeration value="TA Associates"/>
          <xsd:enumeration value="TDR Capital"/>
          <xsd:enumeration value="Tenzing Limited"/>
          <xsd:enumeration value="Tinsa"/>
          <xsd:enumeration value="Triton Partners"/>
          <xsd:enumeration value="Vitruvian Partners"/>
          <xsd:enumeration value="NULL"/>
        </xsd:restriction>
      </xsd:simpleType>
    </xsd:element>
    <xsd:element name="Proposition" ma:index="6" nillable="true" ma:displayName="Solution" ma:format="Dropdown" ma:internalName="Proposition">
      <xsd:simpleType>
        <xsd:restriction base="dms:Choice">
          <xsd:enumeration value="Due Diligence"/>
          <xsd:enumeration value="Data Advisory"/>
          <xsd:enumeration value="Core Reporting"/>
          <xsd:enumeration value="Value Creation"/>
          <xsd:enumeration value="Value Creation - Pricing"/>
          <xsd:enumeration value="Value Creation - Lead Score &amp; Gen"/>
          <xsd:enumeration value="Value Creation - Cross Sell"/>
          <xsd:enumeration value="Value Creation - Churn"/>
          <xsd:enumeration value="Exit"/>
          <xsd:enumeration value="Managed Services"/>
        </xsd:restriction>
      </xsd:simpleType>
    </xsd:element>
    <xsd:element name="CaseStudyType" ma:index="7" nillable="true" ma:displayName="Case Study Type" ma:format="Dropdown" ma:internalName="CaseStudyType" ma:readOnly="false">
      <xsd:simpleType>
        <xsd:restriction base="dms:Choice">
          <xsd:enumeration value="1-Pager"/>
          <xsd:enumeration value="3-Pager"/>
          <xsd:enumeration value="Internal"/>
        </xsd:restriction>
      </xsd:simpleType>
    </xsd:element>
    <xsd:element name="Startdate" ma:index="8" nillable="true" ma:displayName="Start date" ma:format="DateOnly" ma:internalName="Startdate" ma:readOnly="false">
      <xsd:simpleType>
        <xsd:restriction base="dms:DateTime"/>
      </xsd:simpleType>
    </xsd:element>
    <xsd:element name="Enddate" ma:index="9" nillable="true" ma:displayName="End date" ma:format="DateOnly" ma:internalName="Enddate" ma:readOnly="false">
      <xsd:simpleType>
        <xsd:restriction base="dms:DateTime"/>
      </xsd:simpleType>
    </xsd:element>
    <xsd:element name="MediaServiceKeyPoints" ma:index="10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32" nillable="true" ma:displayName="MediaServiceMetadata" ma:hidden="true" ma:internalName="MediaServiceMetadata" ma:readOnly="true">
      <xsd:simpleType>
        <xsd:restriction base="dms:Note"/>
      </xsd:simpleType>
    </xsd:element>
    <xsd:element name="SignedOff" ma:index="33" nillable="true" ma:displayName="Signed Off" ma:format="Dropdown" ma:hidden="true" ma:internalName="SignedOff" ma:readOnly="false">
      <xsd:simpleType>
        <xsd:restriction base="dms:Choice">
          <xsd:enumeration value="Yes"/>
          <xsd:enumeration value="No"/>
        </xsd:restriction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letematerials" ma:index="35" nillable="true" ma:displayName="Delete materials" ma:default="0" ma:format="Dropdown" ma:hidden="true" ma:internalName="Deletematerials" ma:readOnly="false">
      <xsd:simpleType>
        <xsd:restriction base="dms:Boolean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TechnologyCoE" ma:index="38" nillable="true" ma:displayName="Technology CoE" ma:format="Dropdown" ma:internalName="TechnologyCoE">
      <xsd:simpleType>
        <xsd:restriction base="dms:Choice">
          <xsd:enumeration value="Data Engineering"/>
          <xsd:enumeration value="BI &amp; Reporting"/>
          <xsd:enumeration value="Data Science &amp; ML"/>
          <xsd:enumeration value="Full Stack Engineering"/>
          <xsd:enumeration value="TechOps &amp; Automation"/>
        </xsd:restriction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c0084-c7fc-4643-8158-88ab432b609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5c84191a-7f32-4e58-9905-28adf96d63fc}" ma:internalName="TaxCatchAll" ma:readOnly="false" ma:showField="CatchAllData" ma:web="129c0084-c7fc-4643-8158-88ab432b6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4" nillable="true" ma:taxonomy="true" ma:internalName="TaxKeywordTaxHTField" ma:taxonomyFieldName="TaxKeyword" ma:displayName="Enterprise Keywords" ma:readOnly="false" ma:fieldId="{23f27201-bee3-471e-b2e7-b64fd8b7ca38}" ma:taxonomyMulti="true" ma:sspId="190ee516-008d-467c-846c-f354b89760b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537CC-DED9-4717-BF8A-034FB0553F42}">
  <ds:schemaRefs>
    <ds:schemaRef ds:uri="http://schemas.microsoft.com/office/2006/documentManagement/types"/>
    <ds:schemaRef ds:uri="129c0084-c7fc-4643-8158-88ab432b6090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2456dc46-8947-4d6b-b004-dfd73fc159fd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5C050A3-5D2A-44E0-A59C-FB68075638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A4D31E-E123-4F4F-8358-473254A4B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Budget</vt:lpstr>
      <vt:lpstr>Rate Card &amp; 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van Heerden</dc:creator>
  <cp:keywords/>
  <dc:description/>
  <cp:lastModifiedBy>Paul Roddam</cp:lastModifiedBy>
  <cp:revision/>
  <dcterms:created xsi:type="dcterms:W3CDTF">2025-11-11T11:40:03Z</dcterms:created>
  <dcterms:modified xsi:type="dcterms:W3CDTF">2026-04-01T23:53:06Z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0x01010083006C5AC1457D468F4B05B6CAAEF7CB</vt:lpwstr>
  </property>
  <property fmtid="{D5CDD505-2E9C-101B-9397-08002B2CF9AE}" pid="4" name="MediaServiceImageTags">
    <vt:lpwstr/>
  </property>
</Properties>
</file>