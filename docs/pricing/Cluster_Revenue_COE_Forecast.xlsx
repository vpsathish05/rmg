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te_Card" sheetId="2" state="visible" r:id="rId4"/>
    <sheet name="Role_Mapping" sheetId="3" state="visible" r:id="rId5"/>
    <sheet name="Pipeline_Data" sheetId="4" state="visible" r:id="rId6"/>
    <sheet name="Revenue_Trend" sheetId="5" state="visible" r:id="rId7"/>
    <sheet name="Cluster_Forecast" sheetId="6" state="visible" r:id="rId8"/>
    <sheet name="COE_Supply_Deman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<sst xmlns="http://schemas.openxmlformats.org/spreadsheetml/2006/main" count="1129" uniqueCount="217">
  <si>
    <t xml:space="preserve">6-Month Cluster Revenue &amp; COE Demand-Supply Forecast</t>
  </si>
  <si>
    <t xml:space="preserve">Built from: Pipeline Details, Skill Data, Employee Details, Project Allocation Details</t>
  </si>
  <si>
    <t xml:space="preserve">HOW THIS MODEL WORKS</t>
  </si>
  <si>
    <t xml:space="preserve">1. Revenue_Trend tab: Total company revenue for Jan-Jun 2026 (given) is trended forward with FORECAST.LINEAR to get a top-down TOTAL revenue estimate for Jul-Dec 2026.</t>
  </si>
  <si>
    <t xml:space="preserve">2. Pipeline_Data tab: Every open pipeline deal/role line (Pipeline Details &gt; Forecast tab) is cleaned, mapped to a rate-card role, and its revenue is spread across the months it runs using day-count proration.</t>
  </si>
  <si>
    <t xml:space="preserve">3. Cluster_Forecast tab: The bottom-up pipeline revenue is used only to work out each Cluster's % SHARE of business each month (since Cluster is only tagged in the pipeline, not in historical actuals). That % share is then applied to the top-down TOTAL revenue trend from step 1. This is the blend the user requested: 'get the forecasted revenue from previous data and spread that revenue based on the cluster achievable %s in the pipeline'.</t>
  </si>
  <si>
    <t xml:space="preserve">4. COE_Supply_Demand tab: Pipeline role requests are mapped to a Centre of Excellence (COE) to estimate DEMAND headcount by COE by month. SUPPLY is active headcount by COE (from Skill Data + Employee Details) minus employees already billable on confirmed projects (from Project Allocation Details).</t>
  </si>
  <si>
    <t xml:space="preserve">KEY ASSUMPTIONS - PLEASE REVIEW &amp; EDIT (blue cells)</t>
  </si>
  <si>
    <t xml:space="preserve">- Rate_Card and Role_Mapping tabs are editable assumption tables (blue font = input). Pipeline role codes (e.g. 'SC', 'PA', 'Sr DS SME') are mapped to a standard role/location/COE using best-fit judgement - please correct any mapping that looks wrong.</t>
  </si>
  <si>
    <t xml:space="preserve">- Deal duration/allocation values with unusual formats in the source (e.g. '75/100', '25-50') were averaged. Rows missing a duration were defaulted to the pipeline's median duration.</t>
  </si>
  <si>
    <t xml:space="preserve">- Cluster is not tagged anywhere in the 3-years-of-actuals data provided, only in the future pipeline. This is why the model blends top-down total trend x bottom-up cluster mix, rather than trending each cluster's history directly. If a project-level table with Cluster + Project Type (Internal/BAU/Sales) + monthly revenue becomes available, that should replace this workaround with a direct per-cluster trend/FORECAST.ETS.</t>
  </si>
  <si>
    <t xml:space="preserve">- 'Internal / BAU / Sales' project exclusion could not be applied because no project-type field exists in any of the 5 source files - the pipeline tab used here only contains client opportunities, so no explicit exclusion was needed for the bottom-up piece.</t>
  </si>
  <si>
    <t xml:space="preserve">- Revenue unit = USD.  COE Supply/Demand are in headcount (FTE), not currency.</t>
  </si>
  <si>
    <t xml:space="preserve">- Only 286 of 665 active employees have a recorded Skill/COE tag in Skill Data; Supply figures reflect only that mapped population - flagged in the COE tab.</t>
  </si>
  <si>
    <t xml:space="preserve">Role Rate Card (USD Day Rate) - Source: Client Rate Card screenshot</t>
  </si>
  <si>
    <t xml:space="preserve">Blue cells = editable inputs. Used by Pipeline_Data to price each pipeline role request.</t>
  </si>
  <si>
    <t xml:space="preserve">Role</t>
  </si>
  <si>
    <t xml:space="preserve">Location</t>
  </si>
  <si>
    <t xml:space="preserve">Day Rate (USD)</t>
  </si>
  <si>
    <t xml:space="preserve">Associate Partner</t>
  </si>
  <si>
    <t xml:space="preserve">UK</t>
  </si>
  <si>
    <t xml:space="preserve">Principal</t>
  </si>
  <si>
    <t xml:space="preserve">Manager</t>
  </si>
  <si>
    <t xml:space="preserve">Senior Consultant</t>
  </si>
  <si>
    <t xml:space="preserve">Consultant</t>
  </si>
  <si>
    <t xml:space="preserve">Senior Associate Consultant</t>
  </si>
  <si>
    <t xml:space="preserve">Associate Consultant</t>
  </si>
  <si>
    <t xml:space="preserve">Intern</t>
  </si>
  <si>
    <t xml:space="preserve">Senior Solutions Consultant</t>
  </si>
  <si>
    <t xml:space="preserve">Solutions Consultant</t>
  </si>
  <si>
    <t xml:space="preserve">Principal Technology Architect</t>
  </si>
  <si>
    <t xml:space="preserve">IN</t>
  </si>
  <si>
    <t xml:space="preserve">Technical Solutions Architect</t>
  </si>
  <si>
    <t xml:space="preserve">Solutions Enabler</t>
  </si>
  <si>
    <t xml:space="preserve">Senior Software Engineer</t>
  </si>
  <si>
    <t xml:space="preserve">Software Engineer</t>
  </si>
  <si>
    <t xml:space="preserve">Intern Technology</t>
  </si>
  <si>
    <t xml:space="preserve">USA</t>
  </si>
  <si>
    <t xml:space="preserve">Pipeline Role-Code Mapping (ASSUMPTION - please review/correct)</t>
  </si>
  <si>
    <t xml:space="preserve">Maps each 'Resources Requested' code from Pipeline Details &gt; Forecast to a Rate_Card role, a default location, and a Skill-Data COE.</t>
  </si>
  <si>
    <t xml:space="preserve">Pipeline Role Code</t>
  </si>
  <si>
    <t xml:space="preserve">Mapped Role (Rate_Card)</t>
  </si>
  <si>
    <t xml:space="preserve">Default Location</t>
  </si>
  <si>
    <t xml:space="preserve">Mapped COE</t>
  </si>
  <si>
    <t xml:space="preserve">Confidence</t>
  </si>
  <si>
    <t xml:space="preserve">AC</t>
  </si>
  <si>
    <t xml:space="preserve">Consulting</t>
  </si>
  <si>
    <t xml:space="preserve">High</t>
  </si>
  <si>
    <t xml:space="preserve">AC (UK)</t>
  </si>
  <si>
    <t xml:space="preserve">AP</t>
  </si>
  <si>
    <t xml:space="preserve">GTM</t>
  </si>
  <si>
    <t xml:space="preserve">Medium</t>
  </si>
  <si>
    <t xml:space="preserve">AP/P</t>
  </si>
  <si>
    <t xml:space="preserve">C</t>
  </si>
  <si>
    <t xml:space="preserve">C/SAC/AC</t>
  </si>
  <si>
    <t xml:space="preserve">Low - multi-role code, picked mid-point</t>
  </si>
  <si>
    <t xml:space="preserve">EM</t>
  </si>
  <si>
    <t xml:space="preserve">Medium - Engagement Manager proxy</t>
  </si>
  <si>
    <t xml:space="preserve">Enabler</t>
  </si>
  <si>
    <t xml:space="preserve">Data Engineering</t>
  </si>
  <si>
    <t xml:space="preserve">GTM Architect</t>
  </si>
  <si>
    <t xml:space="preserve">M</t>
  </si>
  <si>
    <t xml:space="preserve">P</t>
  </si>
  <si>
    <t xml:space="preserve">Medium - 'Partner' not separately rate-carded</t>
  </si>
  <si>
    <t xml:space="preserve">PA</t>
  </si>
  <si>
    <t xml:space="preserve">Full Stack</t>
  </si>
  <si>
    <t xml:space="preserve">Low - code meaning unclear</t>
  </si>
  <si>
    <t xml:space="preserve">SAC</t>
  </si>
  <si>
    <t xml:space="preserve">SAC - C</t>
  </si>
  <si>
    <t xml:space="preserve">Low - multi-role code</t>
  </si>
  <si>
    <t xml:space="preserve">SAC or AC</t>
  </si>
  <si>
    <t xml:space="preserve">SAC/AC</t>
  </si>
  <si>
    <t xml:space="preserve">SC</t>
  </si>
  <si>
    <t xml:space="preserve">SC (EM)</t>
  </si>
  <si>
    <t xml:space="preserve">SC or C - EM</t>
  </si>
  <si>
    <t xml:space="preserve">SE</t>
  </si>
  <si>
    <t xml:space="preserve">SSE</t>
  </si>
  <si>
    <t xml:space="preserve">SSE  or SE</t>
  </si>
  <si>
    <t xml:space="preserve">Snr Sol Con</t>
  </si>
  <si>
    <t xml:space="preserve">Power BI &amp; Consulting</t>
  </si>
  <si>
    <t xml:space="preserve">Sol Con</t>
  </si>
  <si>
    <t xml:space="preserve">Sol Con/Enabler/SSE</t>
  </si>
  <si>
    <t xml:space="preserve">Sr DS SME</t>
  </si>
  <si>
    <t xml:space="preserve">Data Science &amp; AI</t>
  </si>
  <si>
    <t xml:space="preserve">Sr Sol Con</t>
  </si>
  <si>
    <t xml:space="preserve">Pipeline Deal-Role Lines (cleaned from Pipeline Details &gt; Forecast) with Revenue Calculation</t>
  </si>
  <si>
    <t xml:space="preserve">Revenue per line = Day Rate x Working Days x Allocation% , then spread across the 6 forecast months by day-overlap proration.</t>
  </si>
  <si>
    <t xml:space="preserve">DealID</t>
  </si>
  <si>
    <t xml:space="preserve">Cluster</t>
  </si>
  <si>
    <t xml:space="preserve">Client</t>
  </si>
  <si>
    <t xml:space="preserve">RoleCode</t>
  </si>
  <si>
    <t xml:space="preserve">Start Date</t>
  </si>
  <si>
    <t xml:space="preserve">Weeks</t>
  </si>
  <si>
    <t xml:space="preserve">End Date</t>
  </si>
  <si>
    <t xml:space="preserve">Alloc %</t>
  </si>
  <si>
    <t xml:space="preserve">Status</t>
  </si>
  <si>
    <t xml:space="preserve">Mapped Role</t>
  </si>
  <si>
    <t xml:space="preserve">Working Days</t>
  </si>
  <si>
    <t xml:space="preserve">Total Deal Revenue (USD)</t>
  </si>
  <si>
    <t xml:space="preserve">Total Days</t>
  </si>
  <si>
    <t xml:space="preserve">Jul-2026
(Revenue)</t>
  </si>
  <si>
    <t xml:space="preserve">Aug-2026
(Revenue)</t>
  </si>
  <si>
    <t xml:space="preserve">Sep-2026
(Revenue)</t>
  </si>
  <si>
    <t xml:space="preserve">Oct-2026
(Revenue)</t>
  </si>
  <si>
    <t xml:space="preserve">Nov-2026
(Revenue)</t>
  </si>
  <si>
    <t xml:space="preserve">Dec-2026
(Revenue)</t>
  </si>
  <si>
    <t xml:space="preserve">Jul-2026
(Demand FTE)</t>
  </si>
  <si>
    <t xml:space="preserve">Aug-2026
(Demand FTE)</t>
  </si>
  <si>
    <t xml:space="preserve">Sep-2026
(Demand FTE)</t>
  </si>
  <si>
    <t xml:space="preserve">Oct-2026
(Demand FTE)</t>
  </si>
  <si>
    <t xml:space="preserve">Nov-2026
(Demand FTE)</t>
  </si>
  <si>
    <t xml:space="preserve">Dec-2026
(Demand FTE)</t>
  </si>
  <si>
    <t xml:space="preserve">Sigma</t>
  </si>
  <si>
    <t xml:space="preserve">Not Resourced</t>
  </si>
  <si>
    <t xml:space="preserve">Spidy</t>
  </si>
  <si>
    <t xml:space="preserve">FD</t>
  </si>
  <si>
    <t xml:space="preserve">HD</t>
  </si>
  <si>
    <t xml:space="preserve">Part Resourced</t>
  </si>
  <si>
    <t xml:space="preserve">Alpha</t>
  </si>
  <si>
    <t xml:space="preserve">Pappa Jones</t>
  </si>
  <si>
    <t xml:space="preserve">Mcd</t>
  </si>
  <si>
    <t xml:space="preserve">Pepsi</t>
  </si>
  <si>
    <t xml:space="preserve">Sempra</t>
  </si>
  <si>
    <t xml:space="preserve">Part Resourced </t>
  </si>
  <si>
    <t xml:space="preserve">Tata</t>
  </si>
  <si>
    <t xml:space="preserve">Kawasaki</t>
  </si>
  <si>
    <t xml:space="preserve">Resourced</t>
  </si>
  <si>
    <t xml:space="preserve">Honda</t>
  </si>
  <si>
    <t xml:space="preserve">KTM</t>
  </si>
  <si>
    <t xml:space="preserve">KIA</t>
  </si>
  <si>
    <t xml:space="preserve">Hyundai</t>
  </si>
  <si>
    <t xml:space="preserve">BMW</t>
  </si>
  <si>
    <t xml:space="preserve">Triumph</t>
  </si>
  <si>
    <t xml:space="preserve">Yamaha</t>
  </si>
  <si>
    <t xml:space="preserve">Lexus</t>
  </si>
  <si>
    <t xml:space="preserve">BYD</t>
  </si>
  <si>
    <t xml:space="preserve">Toyata</t>
  </si>
  <si>
    <t xml:space="preserve">Chevy</t>
  </si>
  <si>
    <t xml:space="preserve">RE</t>
  </si>
  <si>
    <t xml:space="preserve">Porsche</t>
  </si>
  <si>
    <t xml:space="preserve">Mini</t>
  </si>
  <si>
    <t xml:space="preserve">Mercedes</t>
  </si>
  <si>
    <t xml:space="preserve">Ford</t>
  </si>
  <si>
    <t xml:space="preserve">Tesla</t>
  </si>
  <si>
    <t xml:space="preserve">Cadillac</t>
  </si>
  <si>
    <t xml:space="preserve">HDFC</t>
  </si>
  <si>
    <t xml:space="preserve">Audi</t>
  </si>
  <si>
    <t xml:space="preserve">Ducati</t>
  </si>
  <si>
    <t xml:space="preserve">Suzuki</t>
  </si>
  <si>
    <t xml:space="preserve">Sony</t>
  </si>
  <si>
    <t xml:space="preserve">Samsung</t>
  </si>
  <si>
    <t xml:space="preserve">Apple</t>
  </si>
  <si>
    <t xml:space="preserve">Moto</t>
  </si>
  <si>
    <t xml:space="preserve">Vertu</t>
  </si>
  <si>
    <t xml:space="preserve">Oneplus</t>
  </si>
  <si>
    <t xml:space="preserve">Nothing</t>
  </si>
  <si>
    <t xml:space="preserve">Falcon</t>
  </si>
  <si>
    <t xml:space="preserve">RDR</t>
  </si>
  <si>
    <t xml:space="preserve">Astra Bot</t>
  </si>
  <si>
    <t xml:space="preserve">POP</t>
  </si>
  <si>
    <t xml:space="preserve">Jazz</t>
  </si>
  <si>
    <t xml:space="preserve">Marshall</t>
  </si>
  <si>
    <t xml:space="preserve">Myth</t>
  </si>
  <si>
    <t xml:space="preserve">Dominos</t>
  </si>
  <si>
    <t xml:space="preserve">Onida</t>
  </si>
  <si>
    <t xml:space="preserve">Toshiba</t>
  </si>
  <si>
    <t xml:space="preserve">Lenova</t>
  </si>
  <si>
    <t xml:space="preserve">LG</t>
  </si>
  <si>
    <t xml:space="preserve">Shell</t>
  </si>
  <si>
    <t xml:space="preserve">Logitech</t>
  </si>
  <si>
    <t xml:space="preserve">Philips</t>
  </si>
  <si>
    <t xml:space="preserve">Axis</t>
  </si>
  <si>
    <t xml:space="preserve">TOTAL</t>
  </si>
  <si>
    <t xml:space="preserve">Top-Down Total Revenue Trend (Company-wide, all clusters combined)</t>
  </si>
  <si>
    <t xml:space="preserve">Actuals (Jan-Jun 2026) are from Pipeline Details &gt; '6 Months Revenue' tab. Jul-Dec 2026 = FORECAST.LINEAR trend. Yellow = forecast.</t>
  </si>
  <si>
    <t xml:space="preserve">Month</t>
  </si>
  <si>
    <t xml:space="preserve">Month Index</t>
  </si>
  <si>
    <t xml:space="preserve">Actual Revenue (USD)</t>
  </si>
  <si>
    <t xml:space="preserve">Forecast Revenue (USD)</t>
  </si>
  <si>
    <t xml:space="preserve">Jan-2026</t>
  </si>
  <si>
    <t xml:space="preserve">Feb-2026</t>
  </si>
  <si>
    <t xml:space="preserve">Mar-2026</t>
  </si>
  <si>
    <t xml:space="preserve">Apr-2026</t>
  </si>
  <si>
    <t xml:space="preserve">May-2026</t>
  </si>
  <si>
    <t xml:space="preserve">Jun-2026</t>
  </si>
  <si>
    <t xml:space="preserve">Jul-2026</t>
  </si>
  <si>
    <t xml:space="preserve">Aug-2026</t>
  </si>
  <si>
    <t xml:space="preserve">Sep-2026</t>
  </si>
  <si>
    <t xml:space="preserve">Oct-2026</t>
  </si>
  <si>
    <t xml:space="preserve">Nov-2026</t>
  </si>
  <si>
    <t xml:space="preserve">Dec-2026</t>
  </si>
  <si>
    <t xml:space="preserve">Cluster Revenue Forecast - Next 6 Months (Jul-Dec 2026)</t>
  </si>
  <si>
    <t xml:space="preserve">Method: Forecast Revenue[Cluster,Month] = Total Revenue Trend[Month] (Revenue_Trend tab) x Cluster Weight[Cluster,Month] (this cluster's share of bottom-up pipeline revenue that month, from Pipeline_Data).</t>
  </si>
  <si>
    <t xml:space="preserve">1) Bottom-Up Pipeline Revenue by Cluster (from Pipeline_Data)</t>
  </si>
  <si>
    <t xml:space="preserve">Cluster 1</t>
  </si>
  <si>
    <t xml:space="preserve">Cluster 2</t>
  </si>
  <si>
    <t xml:space="preserve">Cluster 3</t>
  </si>
  <si>
    <t xml:space="preserve">Cluster 4</t>
  </si>
  <si>
    <t xml:space="preserve">Cluster 5</t>
  </si>
  <si>
    <t xml:space="preserve">Column Total</t>
  </si>
  <si>
    <t xml:space="preserve">2) Cluster Weight % (this cluster's share of bottom-up pipeline that month)</t>
  </si>
  <si>
    <t xml:space="preserve">Avg Weight
(6-mo)</t>
  </si>
  <si>
    <t xml:space="preserve">3) Top-Down Total Revenue Forecast (from Revenue_Trend tab)</t>
  </si>
  <si>
    <t xml:space="preserve">Total Forecast Revenue (USD)</t>
  </si>
  <si>
    <t xml:space="preserve">4) FINAL: Forecast Revenue by Cluster by Month (Total Trend x Cluster Weight)</t>
  </si>
  <si>
    <t xml:space="preserve">6-Month Total</t>
  </si>
  <si>
    <t xml:space="preserve">TOTAL (all clusters)</t>
  </si>
  <si>
    <t xml:space="preserve">COE Supply vs Demand - Next 6 Months (Jul-Dec 2026)</t>
  </si>
  <si>
    <t xml:space="preserve">Demand = pipeline role requests mapped to COE (Pipeline_Data 'Demand FTE' columns). Supply = active headcount by COE (Skill Data + Employee Details) minus employees already billable on confirmed projects (Project Allocation Details). Only 286 of 665 active employees have a recorded COE tag in Skill Data - Active/Busy headcount below reflect only that mapped population.</t>
  </si>
  <si>
    <t xml:space="preserve">1) Active Headcount by COE (Skill Data primary COE x Employee Details active status)</t>
  </si>
  <si>
    <t xml:space="preserve">COE</t>
  </si>
  <si>
    <t xml:space="preserve">Active Headcount
(all mapped)</t>
  </si>
  <si>
    <t xml:space="preserve">Techops &amp; Automation</t>
  </si>
  <si>
    <t xml:space="preserve">2) Already-Billable Headcount by COE by Month (Project Allocation Details, resourcing_status=BILLABLE)</t>
  </si>
  <si>
    <t xml:space="preserve">3) Available Supply by COE by Month  (=Active Headcount − Already-Billable)</t>
  </si>
  <si>
    <t xml:space="preserve">4) Demand FTE by COE by Month (from Pipeline_Data, mapped via Role_Mapping)</t>
  </si>
  <si>
    <t xml:space="preserve">5) FINAL: Capacity Gap by COE by Month  (Supply − Demand; negative = shortfall, hire/reallocate)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</si>
</sst>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yyyy\-mm\-dd"/>
    <numFmt numFmtId="167" formatCode="0.0%"/>
    <numFmt numFmtId="168" formatCode="0.00"/>
    <numFmt numFmtId="169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i val="true"/>
      <sz val="11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6E0B4"/>
      </patternFill>
    </fill>
    <fill>
      <patternFill patternType="solid">
        <fgColor rgb="FFC6E0B4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6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6" hidden="false" customHeight="true" outlineLevel="0" collapsed="false">
      <c r="A9" s="3"/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5" t="s">
        <v>14</v>
      </c>
    </row>
    <row r="2" customFormat="false" ht="15" hidden="false" customHeight="false" outlineLevel="0" collapsed="false">
      <c r="A2" s="6" t="s">
        <v>15</v>
      </c>
    </row>
    <row r="4" customFormat="false" ht="15" hidden="false" customHeight="false" outlineLevel="0" collapsed="false">
      <c r="A4" s="7" t="s">
        <v>16</v>
      </c>
      <c r="B4" s="7" t="s">
        <v>17</v>
      </c>
      <c r="C4" s="7" t="s">
        <v>18</v>
      </c>
    </row>
    <row r="5" customFormat="false" ht="15" hidden="false" customHeight="false" outlineLevel="0" collapsed="false">
      <c r="A5" s="8" t="s">
        <v>19</v>
      </c>
      <c r="B5" s="8" t="s">
        <v>20</v>
      </c>
      <c r="C5" s="9" t="n">
        <v>3526</v>
      </c>
    </row>
    <row r="6" customFormat="false" ht="15" hidden="false" customHeight="false" outlineLevel="0" collapsed="false">
      <c r="A6" s="8" t="s">
        <v>21</v>
      </c>
      <c r="B6" s="8" t="s">
        <v>20</v>
      </c>
      <c r="C6" s="9" t="n">
        <v>3234</v>
      </c>
    </row>
    <row r="7" customFormat="false" ht="15" hidden="false" customHeight="false" outlineLevel="0" collapsed="false">
      <c r="A7" s="8" t="s">
        <v>22</v>
      </c>
      <c r="B7" s="8" t="s">
        <v>20</v>
      </c>
      <c r="C7" s="9" t="n">
        <v>2984</v>
      </c>
    </row>
    <row r="8" customFormat="false" ht="15" hidden="false" customHeight="false" outlineLevel="0" collapsed="false">
      <c r="A8" s="8" t="s">
        <v>23</v>
      </c>
      <c r="B8" s="8" t="s">
        <v>20</v>
      </c>
      <c r="C8" s="9" t="n">
        <v>2798</v>
      </c>
    </row>
    <row r="9" customFormat="false" ht="15" hidden="false" customHeight="false" outlineLevel="0" collapsed="false">
      <c r="A9" s="8" t="s">
        <v>24</v>
      </c>
      <c r="B9" s="8" t="s">
        <v>20</v>
      </c>
      <c r="C9" s="9" t="n">
        <v>2457</v>
      </c>
    </row>
    <row r="10" customFormat="false" ht="15" hidden="false" customHeight="false" outlineLevel="0" collapsed="false">
      <c r="A10" s="8" t="s">
        <v>25</v>
      </c>
      <c r="B10" s="8" t="s">
        <v>20</v>
      </c>
      <c r="C10" s="9" t="n">
        <v>1979</v>
      </c>
    </row>
    <row r="11" customFormat="false" ht="15" hidden="false" customHeight="false" outlineLevel="0" collapsed="false">
      <c r="A11" s="8" t="s">
        <v>26</v>
      </c>
      <c r="B11" s="8" t="s">
        <v>20</v>
      </c>
      <c r="C11" s="9" t="n">
        <v>1866</v>
      </c>
    </row>
    <row r="12" customFormat="false" ht="15" hidden="false" customHeight="false" outlineLevel="0" collapsed="false">
      <c r="A12" s="8" t="s">
        <v>27</v>
      </c>
      <c r="B12" s="8" t="s">
        <v>20</v>
      </c>
      <c r="C12" s="9" t="n">
        <v>1866</v>
      </c>
    </row>
    <row r="13" customFormat="false" ht="15" hidden="false" customHeight="false" outlineLevel="0" collapsed="false">
      <c r="A13" s="8" t="s">
        <v>28</v>
      </c>
      <c r="B13" s="8" t="s">
        <v>20</v>
      </c>
      <c r="C13" s="9" t="n">
        <v>2798</v>
      </c>
    </row>
    <row r="14" customFormat="false" ht="15" hidden="false" customHeight="false" outlineLevel="0" collapsed="false">
      <c r="A14" s="8" t="s">
        <v>29</v>
      </c>
      <c r="B14" s="8" t="s">
        <v>20</v>
      </c>
      <c r="C14" s="9" t="n">
        <v>2457</v>
      </c>
    </row>
    <row r="15" customFormat="false" ht="15" hidden="false" customHeight="false" outlineLevel="0" collapsed="false">
      <c r="A15" s="8" t="s">
        <v>30</v>
      </c>
      <c r="B15" s="8" t="s">
        <v>31</v>
      </c>
      <c r="C15" s="9" t="n">
        <v>845</v>
      </c>
    </row>
    <row r="16" customFormat="false" ht="15" hidden="false" customHeight="false" outlineLevel="0" collapsed="false">
      <c r="A16" s="8" t="s">
        <v>32</v>
      </c>
      <c r="B16" s="8" t="s">
        <v>31</v>
      </c>
      <c r="C16" s="9" t="n">
        <v>748</v>
      </c>
    </row>
    <row r="17" customFormat="false" ht="15" hidden="false" customHeight="false" outlineLevel="0" collapsed="false">
      <c r="A17" s="8" t="s">
        <v>28</v>
      </c>
      <c r="B17" s="8" t="s">
        <v>31</v>
      </c>
      <c r="C17" s="9" t="n">
        <v>715</v>
      </c>
    </row>
    <row r="18" customFormat="false" ht="15" hidden="false" customHeight="false" outlineLevel="0" collapsed="false">
      <c r="A18" s="8" t="s">
        <v>29</v>
      </c>
      <c r="B18" s="8" t="s">
        <v>31</v>
      </c>
      <c r="C18" s="9" t="n">
        <v>683</v>
      </c>
    </row>
    <row r="19" customFormat="false" ht="15" hidden="false" customHeight="false" outlineLevel="0" collapsed="false">
      <c r="A19" s="8" t="s">
        <v>33</v>
      </c>
      <c r="B19" s="8" t="s">
        <v>31</v>
      </c>
      <c r="C19" s="9" t="n">
        <v>683</v>
      </c>
    </row>
    <row r="20" customFormat="false" ht="15" hidden="false" customHeight="false" outlineLevel="0" collapsed="false">
      <c r="A20" s="8" t="s">
        <v>34</v>
      </c>
      <c r="B20" s="8" t="s">
        <v>31</v>
      </c>
      <c r="C20" s="9" t="n">
        <v>585</v>
      </c>
    </row>
    <row r="21" customFormat="false" ht="15" hidden="false" customHeight="false" outlineLevel="0" collapsed="false">
      <c r="A21" s="8" t="s">
        <v>35</v>
      </c>
      <c r="B21" s="8" t="s">
        <v>31</v>
      </c>
      <c r="C21" s="9" t="n">
        <v>455</v>
      </c>
    </row>
    <row r="22" customFormat="false" ht="15" hidden="false" customHeight="false" outlineLevel="0" collapsed="false">
      <c r="A22" s="8" t="s">
        <v>36</v>
      </c>
      <c r="B22" s="8" t="s">
        <v>31</v>
      </c>
      <c r="C22" s="9" t="n">
        <v>390</v>
      </c>
    </row>
    <row r="23" customFormat="false" ht="15" hidden="false" customHeight="false" outlineLevel="0" collapsed="false">
      <c r="A23" s="8" t="s">
        <v>24</v>
      </c>
      <c r="B23" s="8" t="s">
        <v>31</v>
      </c>
      <c r="C23" s="9" t="n">
        <v>683</v>
      </c>
    </row>
    <row r="24" customFormat="false" ht="15" hidden="false" customHeight="false" outlineLevel="0" collapsed="false">
      <c r="A24" s="8" t="s">
        <v>25</v>
      </c>
      <c r="B24" s="8" t="s">
        <v>31</v>
      </c>
      <c r="C24" s="9" t="n">
        <v>683</v>
      </c>
    </row>
    <row r="25" customFormat="false" ht="15" hidden="false" customHeight="false" outlineLevel="0" collapsed="false">
      <c r="A25" s="8" t="s">
        <v>26</v>
      </c>
      <c r="B25" s="8" t="s">
        <v>31</v>
      </c>
      <c r="C25" s="9" t="n">
        <v>585</v>
      </c>
    </row>
    <row r="26" customFormat="false" ht="15" hidden="false" customHeight="false" outlineLevel="0" collapsed="false">
      <c r="A26" s="8" t="s">
        <v>19</v>
      </c>
      <c r="B26" s="8" t="s">
        <v>37</v>
      </c>
      <c r="C26" s="9" t="n">
        <v>3526</v>
      </c>
    </row>
    <row r="27" customFormat="false" ht="15" hidden="false" customHeight="false" outlineLevel="0" collapsed="false">
      <c r="A27" s="8" t="s">
        <v>21</v>
      </c>
      <c r="B27" s="8" t="s">
        <v>37</v>
      </c>
      <c r="C27" s="9" t="n">
        <v>3234</v>
      </c>
    </row>
    <row r="28" customFormat="false" ht="15" hidden="false" customHeight="false" outlineLevel="0" collapsed="false">
      <c r="A28" s="8" t="s">
        <v>22</v>
      </c>
      <c r="B28" s="8" t="s">
        <v>37</v>
      </c>
      <c r="C28" s="9" t="n">
        <v>2984</v>
      </c>
    </row>
    <row r="29" customFormat="false" ht="15" hidden="false" customHeight="false" outlineLevel="0" collapsed="false">
      <c r="A29" s="8" t="s">
        <v>23</v>
      </c>
      <c r="B29" s="8" t="s">
        <v>37</v>
      </c>
      <c r="C29" s="9" t="n">
        <v>2798</v>
      </c>
    </row>
    <row r="30" customFormat="false" ht="15" hidden="false" customHeight="false" outlineLevel="0" collapsed="false">
      <c r="A30" s="8" t="s">
        <v>24</v>
      </c>
      <c r="B30" s="8" t="s">
        <v>37</v>
      </c>
      <c r="C30" s="9" t="n">
        <v>2457</v>
      </c>
    </row>
    <row r="31" customFormat="false" ht="15" hidden="false" customHeight="false" outlineLevel="0" collapsed="false">
      <c r="A31" s="8" t="s">
        <v>25</v>
      </c>
      <c r="B31" s="8" t="s">
        <v>37</v>
      </c>
      <c r="C31" s="9" t="n">
        <v>1979</v>
      </c>
    </row>
    <row r="32" customFormat="false" ht="15" hidden="false" customHeight="false" outlineLevel="0" collapsed="false">
      <c r="A32" s="8" t="s">
        <v>26</v>
      </c>
      <c r="B32" s="8" t="s">
        <v>37</v>
      </c>
      <c r="C32" s="9" t="n">
        <v>1866</v>
      </c>
    </row>
    <row r="33" customFormat="false" ht="15" hidden="false" customHeight="false" outlineLevel="0" collapsed="false">
      <c r="A33" s="8" t="s">
        <v>27</v>
      </c>
      <c r="B33" s="8" t="s">
        <v>37</v>
      </c>
      <c r="C33" s="9" t="n">
        <v>1866</v>
      </c>
    </row>
    <row r="34" customFormat="false" ht="15" hidden="false" customHeight="false" outlineLevel="0" collapsed="false">
      <c r="A34" s="8" t="s">
        <v>32</v>
      </c>
      <c r="B34" s="8" t="s">
        <v>37</v>
      </c>
      <c r="C34" s="9" t="n">
        <v>3234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5" t="s">
        <v>38</v>
      </c>
    </row>
    <row r="2" customFormat="false" ht="15" hidden="false" customHeight="false" outlineLevel="0" collapsed="false">
      <c r="A2" s="6" t="s">
        <v>39</v>
      </c>
    </row>
    <row r="4" customFormat="false" ht="26.85" hidden="false" customHeight="false" outlineLevel="0" collapsed="false">
      <c r="A4" s="7" t="s">
        <v>40</v>
      </c>
      <c r="B4" s="7" t="s">
        <v>41</v>
      </c>
      <c r="C4" s="7" t="s">
        <v>42</v>
      </c>
      <c r="D4" s="7" t="s">
        <v>43</v>
      </c>
      <c r="E4" s="7" t="s">
        <v>44</v>
      </c>
    </row>
    <row r="5" customFormat="false" ht="15" hidden="false" customHeight="false" outlineLevel="0" collapsed="false">
      <c r="A5" s="10" t="s">
        <v>45</v>
      </c>
      <c r="B5" s="8" t="s">
        <v>26</v>
      </c>
      <c r="C5" s="8" t="s">
        <v>31</v>
      </c>
      <c r="D5" s="8" t="s">
        <v>46</v>
      </c>
      <c r="E5" s="11" t="s">
        <v>47</v>
      </c>
    </row>
    <row r="6" customFormat="false" ht="15" hidden="false" customHeight="false" outlineLevel="0" collapsed="false">
      <c r="A6" s="10" t="s">
        <v>48</v>
      </c>
      <c r="B6" s="8" t="s">
        <v>26</v>
      </c>
      <c r="C6" s="8" t="s">
        <v>20</v>
      </c>
      <c r="D6" s="8" t="s">
        <v>46</v>
      </c>
      <c r="E6" s="11" t="s">
        <v>47</v>
      </c>
    </row>
    <row r="7" customFormat="false" ht="15" hidden="false" customHeight="false" outlineLevel="0" collapsed="false">
      <c r="A7" s="10" t="s">
        <v>49</v>
      </c>
      <c r="B7" s="8" t="s">
        <v>19</v>
      </c>
      <c r="C7" s="8" t="s">
        <v>20</v>
      </c>
      <c r="D7" s="8" t="s">
        <v>50</v>
      </c>
      <c r="E7" s="11" t="s">
        <v>51</v>
      </c>
    </row>
    <row r="8" customFormat="false" ht="15" hidden="false" customHeight="false" outlineLevel="0" collapsed="false">
      <c r="A8" s="10" t="s">
        <v>52</v>
      </c>
      <c r="B8" s="8" t="s">
        <v>19</v>
      </c>
      <c r="C8" s="8" t="s">
        <v>20</v>
      </c>
      <c r="D8" s="8" t="s">
        <v>50</v>
      </c>
      <c r="E8" s="11" t="s">
        <v>51</v>
      </c>
    </row>
    <row r="9" customFormat="false" ht="15" hidden="false" customHeight="false" outlineLevel="0" collapsed="false">
      <c r="A9" s="10" t="s">
        <v>53</v>
      </c>
      <c r="B9" s="8" t="s">
        <v>24</v>
      </c>
      <c r="C9" s="8" t="s">
        <v>31</v>
      </c>
      <c r="D9" s="8" t="s">
        <v>46</v>
      </c>
      <c r="E9" s="11" t="s">
        <v>47</v>
      </c>
    </row>
    <row r="10" customFormat="false" ht="15" hidden="false" customHeight="false" outlineLevel="0" collapsed="false">
      <c r="A10" s="10" t="s">
        <v>54</v>
      </c>
      <c r="B10" s="8" t="s">
        <v>24</v>
      </c>
      <c r="C10" s="8" t="s">
        <v>31</v>
      </c>
      <c r="D10" s="8" t="s">
        <v>46</v>
      </c>
      <c r="E10" s="11" t="s">
        <v>55</v>
      </c>
    </row>
    <row r="11" customFormat="false" ht="15" hidden="false" customHeight="false" outlineLevel="0" collapsed="false">
      <c r="A11" s="10" t="s">
        <v>56</v>
      </c>
      <c r="B11" s="8" t="s">
        <v>22</v>
      </c>
      <c r="C11" s="8" t="s">
        <v>20</v>
      </c>
      <c r="D11" s="8" t="s">
        <v>46</v>
      </c>
      <c r="E11" s="11" t="s">
        <v>57</v>
      </c>
    </row>
    <row r="12" customFormat="false" ht="15" hidden="false" customHeight="false" outlineLevel="0" collapsed="false">
      <c r="A12" s="10" t="s">
        <v>58</v>
      </c>
      <c r="B12" s="8" t="s">
        <v>33</v>
      </c>
      <c r="C12" s="8" t="s">
        <v>31</v>
      </c>
      <c r="D12" s="8" t="s">
        <v>59</v>
      </c>
      <c r="E12" s="11" t="s">
        <v>51</v>
      </c>
    </row>
    <row r="13" customFormat="false" ht="15" hidden="false" customHeight="false" outlineLevel="0" collapsed="false">
      <c r="A13" s="10" t="s">
        <v>60</v>
      </c>
      <c r="B13" s="8" t="s">
        <v>30</v>
      </c>
      <c r="C13" s="8" t="s">
        <v>31</v>
      </c>
      <c r="D13" s="8" t="s">
        <v>50</v>
      </c>
      <c r="E13" s="11" t="s">
        <v>51</v>
      </c>
    </row>
    <row r="14" customFormat="false" ht="15" hidden="false" customHeight="false" outlineLevel="0" collapsed="false">
      <c r="A14" s="10" t="s">
        <v>61</v>
      </c>
      <c r="B14" s="8" t="s">
        <v>22</v>
      </c>
      <c r="C14" s="8" t="s">
        <v>20</v>
      </c>
      <c r="D14" s="8" t="s">
        <v>46</v>
      </c>
      <c r="E14" s="11" t="s">
        <v>47</v>
      </c>
    </row>
    <row r="15" customFormat="false" ht="15" hidden="false" customHeight="false" outlineLevel="0" collapsed="false">
      <c r="A15" s="10" t="s">
        <v>62</v>
      </c>
      <c r="B15" s="8" t="s">
        <v>19</v>
      </c>
      <c r="C15" s="8" t="s">
        <v>20</v>
      </c>
      <c r="D15" s="8" t="s">
        <v>50</v>
      </c>
      <c r="E15" s="11" t="s">
        <v>63</v>
      </c>
    </row>
    <row r="16" customFormat="false" ht="15" hidden="false" customHeight="false" outlineLevel="0" collapsed="false">
      <c r="A16" s="10" t="s">
        <v>64</v>
      </c>
      <c r="B16" s="8" t="s">
        <v>30</v>
      </c>
      <c r="C16" s="8" t="s">
        <v>31</v>
      </c>
      <c r="D16" s="8" t="s">
        <v>65</v>
      </c>
      <c r="E16" s="11" t="s">
        <v>66</v>
      </c>
    </row>
    <row r="17" customFormat="false" ht="15" hidden="false" customHeight="false" outlineLevel="0" collapsed="false">
      <c r="A17" s="10" t="s">
        <v>67</v>
      </c>
      <c r="B17" s="8" t="s">
        <v>25</v>
      </c>
      <c r="C17" s="8" t="s">
        <v>31</v>
      </c>
      <c r="D17" s="8" t="s">
        <v>46</v>
      </c>
      <c r="E17" s="11" t="s">
        <v>47</v>
      </c>
    </row>
    <row r="18" customFormat="false" ht="15" hidden="false" customHeight="false" outlineLevel="0" collapsed="false">
      <c r="A18" s="10" t="s">
        <v>68</v>
      </c>
      <c r="B18" s="8" t="s">
        <v>25</v>
      </c>
      <c r="C18" s="8" t="s">
        <v>31</v>
      </c>
      <c r="D18" s="8" t="s">
        <v>46</v>
      </c>
      <c r="E18" s="11" t="s">
        <v>69</v>
      </c>
    </row>
    <row r="19" customFormat="false" ht="15" hidden="false" customHeight="false" outlineLevel="0" collapsed="false">
      <c r="A19" s="10" t="s">
        <v>70</v>
      </c>
      <c r="B19" s="8" t="s">
        <v>25</v>
      </c>
      <c r="C19" s="8" t="s">
        <v>31</v>
      </c>
      <c r="D19" s="8" t="s">
        <v>46</v>
      </c>
      <c r="E19" s="11" t="s">
        <v>69</v>
      </c>
    </row>
    <row r="20" customFormat="false" ht="15" hidden="false" customHeight="false" outlineLevel="0" collapsed="false">
      <c r="A20" s="10" t="s">
        <v>71</v>
      </c>
      <c r="B20" s="8" t="s">
        <v>25</v>
      </c>
      <c r="C20" s="8" t="s">
        <v>31</v>
      </c>
      <c r="D20" s="8" t="s">
        <v>46</v>
      </c>
      <c r="E20" s="11" t="s">
        <v>69</v>
      </c>
    </row>
    <row r="21" customFormat="false" ht="15" hidden="false" customHeight="false" outlineLevel="0" collapsed="false">
      <c r="A21" s="10" t="s">
        <v>72</v>
      </c>
      <c r="B21" s="8" t="s">
        <v>23</v>
      </c>
      <c r="C21" s="8" t="s">
        <v>20</v>
      </c>
      <c r="D21" s="8" t="s">
        <v>46</v>
      </c>
      <c r="E21" s="11" t="s">
        <v>51</v>
      </c>
    </row>
    <row r="22" customFormat="false" ht="15" hidden="false" customHeight="false" outlineLevel="0" collapsed="false">
      <c r="A22" s="10" t="s">
        <v>73</v>
      </c>
      <c r="B22" s="8" t="s">
        <v>23</v>
      </c>
      <c r="C22" s="8" t="s">
        <v>20</v>
      </c>
      <c r="D22" s="8" t="s">
        <v>46</v>
      </c>
      <c r="E22" s="11" t="s">
        <v>51</v>
      </c>
    </row>
    <row r="23" customFormat="false" ht="15" hidden="false" customHeight="false" outlineLevel="0" collapsed="false">
      <c r="A23" s="10" t="s">
        <v>74</v>
      </c>
      <c r="B23" s="8" t="s">
        <v>23</v>
      </c>
      <c r="C23" s="8" t="s">
        <v>20</v>
      </c>
      <c r="D23" s="8" t="s">
        <v>46</v>
      </c>
      <c r="E23" s="11" t="s">
        <v>69</v>
      </c>
    </row>
    <row r="24" customFormat="false" ht="15" hidden="false" customHeight="false" outlineLevel="0" collapsed="false">
      <c r="A24" s="10" t="s">
        <v>75</v>
      </c>
      <c r="B24" s="8" t="s">
        <v>35</v>
      </c>
      <c r="C24" s="8" t="s">
        <v>31</v>
      </c>
      <c r="D24" s="8" t="s">
        <v>65</v>
      </c>
      <c r="E24" s="11" t="s">
        <v>47</v>
      </c>
    </row>
    <row r="25" customFormat="false" ht="15" hidden="false" customHeight="false" outlineLevel="0" collapsed="false">
      <c r="A25" s="10" t="s">
        <v>76</v>
      </c>
      <c r="B25" s="8" t="s">
        <v>34</v>
      </c>
      <c r="C25" s="8" t="s">
        <v>31</v>
      </c>
      <c r="D25" s="8" t="s">
        <v>65</v>
      </c>
      <c r="E25" s="11" t="s">
        <v>47</v>
      </c>
    </row>
    <row r="26" customFormat="false" ht="15" hidden="false" customHeight="false" outlineLevel="0" collapsed="false">
      <c r="A26" s="10" t="s">
        <v>77</v>
      </c>
      <c r="B26" s="8" t="s">
        <v>34</v>
      </c>
      <c r="C26" s="8" t="s">
        <v>31</v>
      </c>
      <c r="D26" s="8" t="s">
        <v>65</v>
      </c>
      <c r="E26" s="11" t="s">
        <v>69</v>
      </c>
    </row>
    <row r="27" customFormat="false" ht="15" hidden="false" customHeight="false" outlineLevel="0" collapsed="false">
      <c r="A27" s="10" t="s">
        <v>78</v>
      </c>
      <c r="B27" s="8" t="s">
        <v>28</v>
      </c>
      <c r="C27" s="8" t="s">
        <v>31</v>
      </c>
      <c r="D27" s="8" t="s">
        <v>79</v>
      </c>
      <c r="E27" s="11" t="s">
        <v>47</v>
      </c>
    </row>
    <row r="28" customFormat="false" ht="15" hidden="false" customHeight="false" outlineLevel="0" collapsed="false">
      <c r="A28" s="10" t="s">
        <v>80</v>
      </c>
      <c r="B28" s="8" t="s">
        <v>29</v>
      </c>
      <c r="C28" s="8" t="s">
        <v>31</v>
      </c>
      <c r="D28" s="8" t="s">
        <v>79</v>
      </c>
      <c r="E28" s="11" t="s">
        <v>47</v>
      </c>
    </row>
    <row r="29" customFormat="false" ht="15" hidden="false" customHeight="false" outlineLevel="0" collapsed="false">
      <c r="A29" s="10" t="s">
        <v>81</v>
      </c>
      <c r="B29" s="8" t="s">
        <v>29</v>
      </c>
      <c r="C29" s="8" t="s">
        <v>31</v>
      </c>
      <c r="D29" s="8" t="s">
        <v>79</v>
      </c>
      <c r="E29" s="11" t="s">
        <v>69</v>
      </c>
    </row>
    <row r="30" customFormat="false" ht="15" hidden="false" customHeight="false" outlineLevel="0" collapsed="false">
      <c r="A30" s="10" t="s">
        <v>82</v>
      </c>
      <c r="B30" s="8" t="s">
        <v>32</v>
      </c>
      <c r="C30" s="8" t="s">
        <v>31</v>
      </c>
      <c r="D30" s="8" t="s">
        <v>83</v>
      </c>
      <c r="E30" s="11" t="s">
        <v>51</v>
      </c>
    </row>
    <row r="31" customFormat="false" ht="15" hidden="false" customHeight="false" outlineLevel="0" collapsed="false">
      <c r="A31" s="10" t="s">
        <v>84</v>
      </c>
      <c r="B31" s="8" t="s">
        <v>28</v>
      </c>
      <c r="C31" s="8" t="s">
        <v>31</v>
      </c>
      <c r="D31" s="8" t="s">
        <v>79</v>
      </c>
      <c r="E31" s="11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26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10"/>
    <col collapsed="false" customWidth="true" hidden="false" outlineLevel="0" max="16" min="16" style="0" width="20"/>
    <col collapsed="false" customWidth="true" hidden="false" outlineLevel="0" max="28" min="17" style="0" width="13"/>
  </cols>
  <sheetData>
    <row r="1" customFormat="false" ht="15" hidden="false" customHeight="false" outlineLevel="0" collapsed="false">
      <c r="A1" s="5" t="s">
        <v>85</v>
      </c>
    </row>
    <row r="2" customFormat="false" ht="15" hidden="false" customHeight="false" outlineLevel="0" collapsed="false">
      <c r="A2" s="6" t="s">
        <v>86</v>
      </c>
    </row>
    <row r="4" customFormat="false" ht="39.55" hidden="false" customHeight="false" outlineLevel="0" collapsed="false">
      <c r="A4" s="7" t="s">
        <v>87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17</v>
      </c>
      <c r="L4" s="7" t="s">
        <v>18</v>
      </c>
      <c r="M4" s="7" t="s">
        <v>97</v>
      </c>
      <c r="N4" s="7" t="s">
        <v>98</v>
      </c>
      <c r="O4" s="7" t="s">
        <v>99</v>
      </c>
      <c r="P4" s="7" t="s">
        <v>43</v>
      </c>
      <c r="Q4" s="7" t="s">
        <v>100</v>
      </c>
      <c r="R4" s="7" t="s">
        <v>101</v>
      </c>
      <c r="S4" s="7" t="s">
        <v>102</v>
      </c>
      <c r="T4" s="7" t="s">
        <v>103</v>
      </c>
      <c r="U4" s="7" t="s">
        <v>104</v>
      </c>
      <c r="V4" s="7" t="s">
        <v>105</v>
      </c>
      <c r="W4" s="7" t="s">
        <v>106</v>
      </c>
      <c r="X4" s="7" t="s">
        <v>107</v>
      </c>
      <c r="Y4" s="7" t="s">
        <v>108</v>
      </c>
      <c r="Z4" s="7" t="s">
        <v>109</v>
      </c>
      <c r="AA4" s="7" t="s">
        <v>110</v>
      </c>
      <c r="AB4" s="7" t="s">
        <v>111</v>
      </c>
    </row>
    <row r="5" customFormat="false" ht="15" hidden="false" customHeight="false" outlineLevel="0" collapsed="false">
      <c r="A5" s="10" t="n">
        <v>1</v>
      </c>
      <c r="B5" s="10" t="n">
        <v>3</v>
      </c>
      <c r="C5" s="10" t="s">
        <v>112</v>
      </c>
      <c r="D5" s="10" t="s">
        <v>62</v>
      </c>
      <c r="E5" s="12" t="n">
        <v>46209</v>
      </c>
      <c r="F5" s="10" t="n">
        <v>11</v>
      </c>
      <c r="G5" s="12" t="n">
        <v>46286</v>
      </c>
      <c r="H5" s="13" t="n">
        <v>0.25</v>
      </c>
      <c r="I5" s="10" t="s">
        <v>113</v>
      </c>
      <c r="J5" s="14" t="str">
        <f aca="false">IFERROR(VLOOKUP(D5,Role_Mapping!$A$5:$D$31,2,FALSE()),"UNMAPPED")</f>
        <v>Associate Partner</v>
      </c>
      <c r="K5" s="14" t="str">
        <f aca="false">IFERROR(VLOOKUP(D5,Role_Mapping!$A$5:$D$31,3,FALSE()),"IN")</f>
        <v>UK</v>
      </c>
      <c r="L5" s="15" t="n">
        <f aca="false">IFERROR(SUMPRODUCT((Rate_Card!$A$5:$A$34=J5)*(Rate_Card!$B$5:$B$34=K5)*Rate_Card!$C$5:$C$34),0)</f>
        <v>3526</v>
      </c>
      <c r="M5" s="10" t="n">
        <f aca="false">F5*5</f>
        <v>55</v>
      </c>
      <c r="N5" s="16" t="n">
        <f aca="false">L5*M5*H5</f>
        <v>48482.5</v>
      </c>
      <c r="O5" s="10" t="n">
        <f aca="false">(G5-E5)+1</f>
        <v>78</v>
      </c>
      <c r="P5" s="14" t="str">
        <f aca="false">IFERROR(VLOOKUP(D5,Role_Mapping!$A$5:$D$31,4,FALSE()),"UNMAPPED")</f>
        <v>GTM</v>
      </c>
      <c r="Q5" s="16" t="n">
        <f aca="false">$N5*MAX(0,(MIN($G5,DATE(2026,7,31))-MAX($E5,DATE(2026,7,1))+1))/$O5</f>
        <v>16160.8333333333</v>
      </c>
      <c r="R5" s="16" t="n">
        <f aca="false">$N5*MAX(0,(MIN($G5,DATE(2026,8,31))-MAX($E5,DATE(2026,8,1))+1))/$O5</f>
        <v>19268.6858974359</v>
      </c>
      <c r="S5" s="16" t="n">
        <f aca="false">$N5*MAX(0,(MIN($G5,DATE(2026,9,30))-MAX($E5,DATE(2026,9,1))+1))/$O5</f>
        <v>13052.9807692308</v>
      </c>
      <c r="T5" s="16" t="n">
        <f aca="false">$N5*MAX(0,(MIN($G5,DATE(2026,10,31))-MAX($E5,DATE(2026,10,1))+1))/$O5</f>
        <v>0</v>
      </c>
      <c r="U5" s="16" t="n">
        <f aca="false">$N5*MAX(0,(MIN($G5,DATE(2026,11,30))-MAX($E5,DATE(2026,11,1))+1))/$O5</f>
        <v>0</v>
      </c>
      <c r="V5" s="16" t="n">
        <f aca="false">$N5*MAX(0,(MIN($G5,DATE(2026,12,31))-MAX($E5,DATE(2026,12,1))+1))/$O5</f>
        <v>0</v>
      </c>
      <c r="W5" s="17" t="n">
        <f aca="false">$H5*MAX(0,(MIN($G5,DATE(2026,7,31))-MAX($E5,DATE(2026,7,1))+1))/30.4</f>
        <v>0.213815789473684</v>
      </c>
      <c r="X5" s="17" t="n">
        <f aca="false">$H5*MAX(0,(MIN($G5,DATE(2026,8,31))-MAX($E5,DATE(2026,8,1))+1))/30.4</f>
        <v>0.254934210526316</v>
      </c>
      <c r="Y5" s="17" t="n">
        <f aca="false">$H5*MAX(0,(MIN($G5,DATE(2026,9,30))-MAX($E5,DATE(2026,9,1))+1))/30.4</f>
        <v>0.172697368421053</v>
      </c>
      <c r="Z5" s="17" t="n">
        <f aca="false">$H5*MAX(0,(MIN($G5,DATE(2026,10,31))-MAX($E5,DATE(2026,10,1))+1))/30.4</f>
        <v>0</v>
      </c>
      <c r="AA5" s="17" t="n">
        <f aca="false">$H5*MAX(0,(MIN($G5,DATE(2026,11,30))-MAX($E5,DATE(2026,11,1))+1))/30.4</f>
        <v>0</v>
      </c>
      <c r="AB5" s="17" t="n">
        <f aca="false">$H5*MAX(0,(MIN($G5,DATE(2026,12,31))-MAX($E5,DATE(2026,12,1))+1))/30.4</f>
        <v>0</v>
      </c>
    </row>
    <row r="6" customFormat="false" ht="15" hidden="false" customHeight="false" outlineLevel="0" collapsed="false">
      <c r="A6" s="10" t="n">
        <v>1</v>
      </c>
      <c r="B6" s="10" t="n">
        <v>3</v>
      </c>
      <c r="C6" s="10" t="s">
        <v>112</v>
      </c>
      <c r="D6" s="10" t="s">
        <v>72</v>
      </c>
      <c r="E6" s="12" t="n">
        <v>46209</v>
      </c>
      <c r="F6" s="10" t="n">
        <v>11</v>
      </c>
      <c r="G6" s="12" t="n">
        <v>46286</v>
      </c>
      <c r="H6" s="13" t="n">
        <v>0.5</v>
      </c>
      <c r="I6" s="10" t="s">
        <v>113</v>
      </c>
      <c r="J6" s="14" t="str">
        <f aca="false">IFERROR(VLOOKUP(D6,Role_Mapping!$A$5:$D$31,2,FALSE()),"UNMAPPED")</f>
        <v>Senior Consultant</v>
      </c>
      <c r="K6" s="14" t="str">
        <f aca="false">IFERROR(VLOOKUP(D6,Role_Mapping!$A$5:$D$31,3,FALSE()),"IN")</f>
        <v>UK</v>
      </c>
      <c r="L6" s="15" t="n">
        <f aca="false">IFERROR(SUMPRODUCT((Rate_Card!$A$5:$A$34=J6)*(Rate_Card!$B$5:$B$34=K6)*Rate_Card!$C$5:$C$34),0)</f>
        <v>2798</v>
      </c>
      <c r="M6" s="10" t="n">
        <f aca="false">F6*5</f>
        <v>55</v>
      </c>
      <c r="N6" s="16" t="n">
        <f aca="false">L6*M6*H6</f>
        <v>76945</v>
      </c>
      <c r="O6" s="10" t="n">
        <f aca="false">(G6-E6)+1</f>
        <v>78</v>
      </c>
      <c r="P6" s="14" t="str">
        <f aca="false">IFERROR(VLOOKUP(D6,Role_Mapping!$A$5:$D$31,4,FALSE()),"UNMAPPED")</f>
        <v>Consulting</v>
      </c>
      <c r="Q6" s="16" t="n">
        <f aca="false">$N6*MAX(0,(MIN($G6,DATE(2026,7,31))-MAX($E6,DATE(2026,7,1))+1))/$O6</f>
        <v>25648.3333333333</v>
      </c>
      <c r="R6" s="16" t="n">
        <f aca="false">$N6*MAX(0,(MIN($G6,DATE(2026,8,31))-MAX($E6,DATE(2026,8,1))+1))/$O6</f>
        <v>30580.7051282051</v>
      </c>
      <c r="S6" s="16" t="n">
        <f aca="false">$N6*MAX(0,(MIN($G6,DATE(2026,9,30))-MAX($E6,DATE(2026,9,1))+1))/$O6</f>
        <v>20715.9615384615</v>
      </c>
      <c r="T6" s="16" t="n">
        <f aca="false">$N6*MAX(0,(MIN($G6,DATE(2026,10,31))-MAX($E6,DATE(2026,10,1))+1))/$O6</f>
        <v>0</v>
      </c>
      <c r="U6" s="16" t="n">
        <f aca="false">$N6*MAX(0,(MIN($G6,DATE(2026,11,30))-MAX($E6,DATE(2026,11,1))+1))/$O6</f>
        <v>0</v>
      </c>
      <c r="V6" s="16" t="n">
        <f aca="false">$N6*MAX(0,(MIN($G6,DATE(2026,12,31))-MAX($E6,DATE(2026,12,1))+1))/$O6</f>
        <v>0</v>
      </c>
      <c r="W6" s="17" t="n">
        <f aca="false">$H6*MAX(0,(MIN($G6,DATE(2026,7,31))-MAX($E6,DATE(2026,7,1))+1))/30.4</f>
        <v>0.427631578947368</v>
      </c>
      <c r="X6" s="17" t="n">
        <f aca="false">$H6*MAX(0,(MIN($G6,DATE(2026,8,31))-MAX($E6,DATE(2026,8,1))+1))/30.4</f>
        <v>0.509868421052632</v>
      </c>
      <c r="Y6" s="17" t="n">
        <f aca="false">$H6*MAX(0,(MIN($G6,DATE(2026,9,30))-MAX($E6,DATE(2026,9,1))+1))/30.4</f>
        <v>0.345394736842105</v>
      </c>
      <c r="Z6" s="17" t="n">
        <f aca="false">$H6*MAX(0,(MIN($G6,DATE(2026,10,31))-MAX($E6,DATE(2026,10,1))+1))/30.4</f>
        <v>0</v>
      </c>
      <c r="AA6" s="17" t="n">
        <f aca="false">$H6*MAX(0,(MIN($G6,DATE(2026,11,30))-MAX($E6,DATE(2026,11,1))+1))/30.4</f>
        <v>0</v>
      </c>
      <c r="AB6" s="17" t="n">
        <f aca="false">$H6*MAX(0,(MIN($G6,DATE(2026,12,31))-MAX($E6,DATE(2026,12,1))+1))/30.4</f>
        <v>0</v>
      </c>
    </row>
    <row r="7" customFormat="false" ht="15" hidden="false" customHeight="false" outlineLevel="0" collapsed="false">
      <c r="A7" s="10" t="n">
        <v>1</v>
      </c>
      <c r="B7" s="10" t="n">
        <v>3</v>
      </c>
      <c r="C7" s="10" t="s">
        <v>112</v>
      </c>
      <c r="D7" s="10" t="s">
        <v>53</v>
      </c>
      <c r="E7" s="12" t="n">
        <v>46209</v>
      </c>
      <c r="F7" s="10" t="n">
        <v>11</v>
      </c>
      <c r="G7" s="12" t="n">
        <v>46286</v>
      </c>
      <c r="H7" s="13" t="n">
        <v>1</v>
      </c>
      <c r="I7" s="10" t="s">
        <v>113</v>
      </c>
      <c r="J7" s="14" t="str">
        <f aca="false">IFERROR(VLOOKUP(D7,Role_Mapping!$A$5:$D$31,2,FALSE()),"UNMAPPED")</f>
        <v>Consultant</v>
      </c>
      <c r="K7" s="14" t="str">
        <f aca="false">IFERROR(VLOOKUP(D7,Role_Mapping!$A$5:$D$31,3,FALSE()),"IN")</f>
        <v>IN</v>
      </c>
      <c r="L7" s="15" t="n">
        <f aca="false">IFERROR(SUMPRODUCT((Rate_Card!$A$5:$A$34=J7)*(Rate_Card!$B$5:$B$34=K7)*Rate_Card!$C$5:$C$34),0)</f>
        <v>683</v>
      </c>
      <c r="M7" s="10" t="n">
        <f aca="false">F7*5</f>
        <v>55</v>
      </c>
      <c r="N7" s="16" t="n">
        <f aca="false">L7*M7*H7</f>
        <v>37565</v>
      </c>
      <c r="O7" s="10" t="n">
        <f aca="false">(G7-E7)+1</f>
        <v>78</v>
      </c>
      <c r="P7" s="14" t="str">
        <f aca="false">IFERROR(VLOOKUP(D7,Role_Mapping!$A$5:$D$31,4,FALSE()),"UNMAPPED")</f>
        <v>Consulting</v>
      </c>
      <c r="Q7" s="16" t="n">
        <f aca="false">$N7*MAX(0,(MIN($G7,DATE(2026,7,31))-MAX($E7,DATE(2026,7,1))+1))/$O7</f>
        <v>12521.6666666667</v>
      </c>
      <c r="R7" s="16" t="n">
        <f aca="false">$N7*MAX(0,(MIN($G7,DATE(2026,8,31))-MAX($E7,DATE(2026,8,1))+1))/$O7</f>
        <v>14929.6794871795</v>
      </c>
      <c r="S7" s="16" t="n">
        <f aca="false">$N7*MAX(0,(MIN($G7,DATE(2026,9,30))-MAX($E7,DATE(2026,9,1))+1))/$O7</f>
        <v>10113.6538461538</v>
      </c>
      <c r="T7" s="16" t="n">
        <f aca="false">$N7*MAX(0,(MIN($G7,DATE(2026,10,31))-MAX($E7,DATE(2026,10,1))+1))/$O7</f>
        <v>0</v>
      </c>
      <c r="U7" s="16" t="n">
        <f aca="false">$N7*MAX(0,(MIN($G7,DATE(2026,11,30))-MAX($E7,DATE(2026,11,1))+1))/$O7</f>
        <v>0</v>
      </c>
      <c r="V7" s="16" t="n">
        <f aca="false">$N7*MAX(0,(MIN($G7,DATE(2026,12,31))-MAX($E7,DATE(2026,12,1))+1))/$O7</f>
        <v>0</v>
      </c>
      <c r="W7" s="17" t="n">
        <f aca="false">$H7*MAX(0,(MIN($G7,DATE(2026,7,31))-MAX($E7,DATE(2026,7,1))+1))/30.4</f>
        <v>0.855263157894737</v>
      </c>
      <c r="X7" s="17" t="n">
        <f aca="false">$H7*MAX(0,(MIN($G7,DATE(2026,8,31))-MAX($E7,DATE(2026,8,1))+1))/30.4</f>
        <v>1.01973684210526</v>
      </c>
      <c r="Y7" s="17" t="n">
        <f aca="false">$H7*MAX(0,(MIN($G7,DATE(2026,9,30))-MAX($E7,DATE(2026,9,1))+1))/30.4</f>
        <v>0.690789473684211</v>
      </c>
      <c r="Z7" s="17" t="n">
        <f aca="false">$H7*MAX(0,(MIN($G7,DATE(2026,10,31))-MAX($E7,DATE(2026,10,1))+1))/30.4</f>
        <v>0</v>
      </c>
      <c r="AA7" s="17" t="n">
        <f aca="false">$H7*MAX(0,(MIN($G7,DATE(2026,11,30))-MAX($E7,DATE(2026,11,1))+1))/30.4</f>
        <v>0</v>
      </c>
      <c r="AB7" s="17" t="n">
        <f aca="false">$H7*MAX(0,(MIN($G7,DATE(2026,12,31))-MAX($E7,DATE(2026,12,1))+1))/30.4</f>
        <v>0</v>
      </c>
    </row>
    <row r="8" customFormat="false" ht="15" hidden="false" customHeight="false" outlineLevel="0" collapsed="false">
      <c r="A8" s="10" t="n">
        <v>1</v>
      </c>
      <c r="B8" s="10" t="n">
        <v>3</v>
      </c>
      <c r="C8" s="10" t="s">
        <v>112</v>
      </c>
      <c r="D8" s="10" t="s">
        <v>84</v>
      </c>
      <c r="E8" s="12" t="n">
        <v>46209</v>
      </c>
      <c r="F8" s="10" t="n">
        <v>11</v>
      </c>
      <c r="G8" s="12" t="n">
        <v>46286</v>
      </c>
      <c r="H8" s="13" t="n">
        <v>0.875</v>
      </c>
      <c r="I8" s="10" t="s">
        <v>113</v>
      </c>
      <c r="J8" s="14" t="str">
        <f aca="false">IFERROR(VLOOKUP(D8,Role_Mapping!$A$5:$D$31,2,FALSE()),"UNMAPPED")</f>
        <v>Senior Solutions Consultant</v>
      </c>
      <c r="K8" s="14" t="str">
        <f aca="false">IFERROR(VLOOKUP(D8,Role_Mapping!$A$5:$D$31,3,FALSE()),"IN")</f>
        <v>IN</v>
      </c>
      <c r="L8" s="15" t="n">
        <f aca="false">IFERROR(SUMPRODUCT((Rate_Card!$A$5:$A$34=J8)*(Rate_Card!$B$5:$B$34=K8)*Rate_Card!$C$5:$C$34),0)</f>
        <v>715</v>
      </c>
      <c r="M8" s="10" t="n">
        <f aca="false">F8*5</f>
        <v>55</v>
      </c>
      <c r="N8" s="16" t="n">
        <f aca="false">L8*M8*H8</f>
        <v>34409.375</v>
      </c>
      <c r="O8" s="10" t="n">
        <f aca="false">(G8-E8)+1</f>
        <v>78</v>
      </c>
      <c r="P8" s="14" t="str">
        <f aca="false">IFERROR(VLOOKUP(D8,Role_Mapping!$A$5:$D$31,4,FALSE()),"UNMAPPED")</f>
        <v>Power BI &amp; Consulting</v>
      </c>
      <c r="Q8" s="16" t="n">
        <f aca="false">$N8*MAX(0,(MIN($G8,DATE(2026,7,31))-MAX($E8,DATE(2026,7,1))+1))/$O8</f>
        <v>11469.7916666667</v>
      </c>
      <c r="R8" s="16" t="n">
        <f aca="false">$N8*MAX(0,(MIN($G8,DATE(2026,8,31))-MAX($E8,DATE(2026,8,1))+1))/$O8</f>
        <v>13675.5208333333</v>
      </c>
      <c r="S8" s="16" t="n">
        <f aca="false">$N8*MAX(0,(MIN($G8,DATE(2026,9,30))-MAX($E8,DATE(2026,9,1))+1))/$O8</f>
        <v>9264.0625</v>
      </c>
      <c r="T8" s="16" t="n">
        <f aca="false">$N8*MAX(0,(MIN($G8,DATE(2026,10,31))-MAX($E8,DATE(2026,10,1))+1))/$O8</f>
        <v>0</v>
      </c>
      <c r="U8" s="16" t="n">
        <f aca="false">$N8*MAX(0,(MIN($G8,DATE(2026,11,30))-MAX($E8,DATE(2026,11,1))+1))/$O8</f>
        <v>0</v>
      </c>
      <c r="V8" s="16" t="n">
        <f aca="false">$N8*MAX(0,(MIN($G8,DATE(2026,12,31))-MAX($E8,DATE(2026,12,1))+1))/$O8</f>
        <v>0</v>
      </c>
      <c r="W8" s="17" t="n">
        <f aca="false">$H8*MAX(0,(MIN($G8,DATE(2026,7,31))-MAX($E8,DATE(2026,7,1))+1))/30.4</f>
        <v>0.748355263157895</v>
      </c>
      <c r="X8" s="17" t="n">
        <f aca="false">$H8*MAX(0,(MIN($G8,DATE(2026,8,31))-MAX($E8,DATE(2026,8,1))+1))/30.4</f>
        <v>0.892269736842105</v>
      </c>
      <c r="Y8" s="17" t="n">
        <f aca="false">$H8*MAX(0,(MIN($G8,DATE(2026,9,30))-MAX($E8,DATE(2026,9,1))+1))/30.4</f>
        <v>0.604440789473684</v>
      </c>
      <c r="Z8" s="17" t="n">
        <f aca="false">$H8*MAX(0,(MIN($G8,DATE(2026,10,31))-MAX($E8,DATE(2026,10,1))+1))/30.4</f>
        <v>0</v>
      </c>
      <c r="AA8" s="17" t="n">
        <f aca="false">$H8*MAX(0,(MIN($G8,DATE(2026,11,30))-MAX($E8,DATE(2026,11,1))+1))/30.4</f>
        <v>0</v>
      </c>
      <c r="AB8" s="17" t="n">
        <f aca="false">$H8*MAX(0,(MIN($G8,DATE(2026,12,31))-MAX($E8,DATE(2026,12,1))+1))/30.4</f>
        <v>0</v>
      </c>
    </row>
    <row r="9" customFormat="false" ht="15" hidden="false" customHeight="false" outlineLevel="0" collapsed="false">
      <c r="A9" s="10" t="n">
        <v>1</v>
      </c>
      <c r="B9" s="10" t="n">
        <v>3</v>
      </c>
      <c r="C9" s="10" t="s">
        <v>112</v>
      </c>
      <c r="D9" s="10" t="s">
        <v>76</v>
      </c>
      <c r="E9" s="12" t="n">
        <v>46209</v>
      </c>
      <c r="F9" s="10" t="n">
        <v>11</v>
      </c>
      <c r="G9" s="12" t="n">
        <v>46286</v>
      </c>
      <c r="H9" s="13" t="n">
        <v>1</v>
      </c>
      <c r="I9" s="10" t="s">
        <v>113</v>
      </c>
      <c r="J9" s="14" t="str">
        <f aca="false">IFERROR(VLOOKUP(D9,Role_Mapping!$A$5:$D$31,2,FALSE()),"UNMAPPED")</f>
        <v>Senior Software Engineer</v>
      </c>
      <c r="K9" s="14" t="str">
        <f aca="false">IFERROR(VLOOKUP(D9,Role_Mapping!$A$5:$D$31,3,FALSE()),"IN")</f>
        <v>IN</v>
      </c>
      <c r="L9" s="15" t="n">
        <f aca="false">IFERROR(SUMPRODUCT((Rate_Card!$A$5:$A$34=J9)*(Rate_Card!$B$5:$B$34=K9)*Rate_Card!$C$5:$C$34),0)</f>
        <v>585</v>
      </c>
      <c r="M9" s="10" t="n">
        <f aca="false">F9*5</f>
        <v>55</v>
      </c>
      <c r="N9" s="16" t="n">
        <f aca="false">L9*M9*H9</f>
        <v>32175</v>
      </c>
      <c r="O9" s="10" t="n">
        <f aca="false">(G9-E9)+1</f>
        <v>78</v>
      </c>
      <c r="P9" s="14" t="str">
        <f aca="false">IFERROR(VLOOKUP(D9,Role_Mapping!$A$5:$D$31,4,FALSE()),"UNMAPPED")</f>
        <v>Full Stack</v>
      </c>
      <c r="Q9" s="16" t="n">
        <f aca="false">$N9*MAX(0,(MIN($G9,DATE(2026,7,31))-MAX($E9,DATE(2026,7,1))+1))/$O9</f>
        <v>10725</v>
      </c>
      <c r="R9" s="16" t="n">
        <f aca="false">$N9*MAX(0,(MIN($G9,DATE(2026,8,31))-MAX($E9,DATE(2026,8,1))+1))/$O9</f>
        <v>12787.5</v>
      </c>
      <c r="S9" s="16" t="n">
        <f aca="false">$N9*MAX(0,(MIN($G9,DATE(2026,9,30))-MAX($E9,DATE(2026,9,1))+1))/$O9</f>
        <v>8662.5</v>
      </c>
      <c r="T9" s="16" t="n">
        <f aca="false">$N9*MAX(0,(MIN($G9,DATE(2026,10,31))-MAX($E9,DATE(2026,10,1))+1))/$O9</f>
        <v>0</v>
      </c>
      <c r="U9" s="16" t="n">
        <f aca="false">$N9*MAX(0,(MIN($G9,DATE(2026,11,30))-MAX($E9,DATE(2026,11,1))+1))/$O9</f>
        <v>0</v>
      </c>
      <c r="V9" s="16" t="n">
        <f aca="false">$N9*MAX(0,(MIN($G9,DATE(2026,12,31))-MAX($E9,DATE(2026,12,1))+1))/$O9</f>
        <v>0</v>
      </c>
      <c r="W9" s="17" t="n">
        <f aca="false">$H9*MAX(0,(MIN($G9,DATE(2026,7,31))-MAX($E9,DATE(2026,7,1))+1))/30.4</f>
        <v>0.855263157894737</v>
      </c>
      <c r="X9" s="17" t="n">
        <f aca="false">$H9*MAX(0,(MIN($G9,DATE(2026,8,31))-MAX($E9,DATE(2026,8,1))+1))/30.4</f>
        <v>1.01973684210526</v>
      </c>
      <c r="Y9" s="17" t="n">
        <f aca="false">$H9*MAX(0,(MIN($G9,DATE(2026,9,30))-MAX($E9,DATE(2026,9,1))+1))/30.4</f>
        <v>0.690789473684211</v>
      </c>
      <c r="Z9" s="17" t="n">
        <f aca="false">$H9*MAX(0,(MIN($G9,DATE(2026,10,31))-MAX($E9,DATE(2026,10,1))+1))/30.4</f>
        <v>0</v>
      </c>
      <c r="AA9" s="17" t="n">
        <f aca="false">$H9*MAX(0,(MIN($G9,DATE(2026,11,30))-MAX($E9,DATE(2026,11,1))+1))/30.4</f>
        <v>0</v>
      </c>
      <c r="AB9" s="17" t="n">
        <f aca="false">$H9*MAX(0,(MIN($G9,DATE(2026,12,31))-MAX($E9,DATE(2026,12,1))+1))/30.4</f>
        <v>0</v>
      </c>
    </row>
    <row r="10" customFormat="false" ht="15" hidden="false" customHeight="false" outlineLevel="0" collapsed="false">
      <c r="A10" s="10" t="n">
        <v>1</v>
      </c>
      <c r="B10" s="10" t="n">
        <v>3</v>
      </c>
      <c r="C10" s="10" t="s">
        <v>112</v>
      </c>
      <c r="D10" s="10" t="s">
        <v>75</v>
      </c>
      <c r="E10" s="12" t="n">
        <v>46209</v>
      </c>
      <c r="F10" s="10" t="n">
        <v>11</v>
      </c>
      <c r="G10" s="12" t="n">
        <v>46286</v>
      </c>
      <c r="H10" s="13" t="n">
        <v>1</v>
      </c>
      <c r="I10" s="10" t="s">
        <v>113</v>
      </c>
      <c r="J10" s="14" t="str">
        <f aca="false">IFERROR(VLOOKUP(D10,Role_Mapping!$A$5:$D$31,2,FALSE()),"UNMAPPED")</f>
        <v>Software Engineer</v>
      </c>
      <c r="K10" s="14" t="str">
        <f aca="false">IFERROR(VLOOKUP(D10,Role_Mapping!$A$5:$D$31,3,FALSE()),"IN")</f>
        <v>IN</v>
      </c>
      <c r="L10" s="15" t="n">
        <f aca="false">IFERROR(SUMPRODUCT((Rate_Card!$A$5:$A$34=J10)*(Rate_Card!$B$5:$B$34=K10)*Rate_Card!$C$5:$C$34),0)</f>
        <v>455</v>
      </c>
      <c r="M10" s="10" t="n">
        <f aca="false">F10*5</f>
        <v>55</v>
      </c>
      <c r="N10" s="16" t="n">
        <f aca="false">L10*M10*H10</f>
        <v>25025</v>
      </c>
      <c r="O10" s="10" t="n">
        <f aca="false">(G10-E10)+1</f>
        <v>78</v>
      </c>
      <c r="P10" s="14" t="str">
        <f aca="false">IFERROR(VLOOKUP(D10,Role_Mapping!$A$5:$D$31,4,FALSE()),"UNMAPPED")</f>
        <v>Full Stack</v>
      </c>
      <c r="Q10" s="16" t="n">
        <f aca="false">$N10*MAX(0,(MIN($G10,DATE(2026,7,31))-MAX($E10,DATE(2026,7,1))+1))/$O10</f>
        <v>8341.66666666667</v>
      </c>
      <c r="R10" s="16" t="n">
        <f aca="false">$N10*MAX(0,(MIN($G10,DATE(2026,8,31))-MAX($E10,DATE(2026,8,1))+1))/$O10</f>
        <v>9945.83333333333</v>
      </c>
      <c r="S10" s="16" t="n">
        <f aca="false">$N10*MAX(0,(MIN($G10,DATE(2026,9,30))-MAX($E10,DATE(2026,9,1))+1))/$O10</f>
        <v>6737.5</v>
      </c>
      <c r="T10" s="16" t="n">
        <f aca="false">$N10*MAX(0,(MIN($G10,DATE(2026,10,31))-MAX($E10,DATE(2026,10,1))+1))/$O10</f>
        <v>0</v>
      </c>
      <c r="U10" s="16" t="n">
        <f aca="false">$N10*MAX(0,(MIN($G10,DATE(2026,11,30))-MAX($E10,DATE(2026,11,1))+1))/$O10</f>
        <v>0</v>
      </c>
      <c r="V10" s="16" t="n">
        <f aca="false">$N10*MAX(0,(MIN($G10,DATE(2026,12,31))-MAX($E10,DATE(2026,12,1))+1))/$O10</f>
        <v>0</v>
      </c>
      <c r="W10" s="17" t="n">
        <f aca="false">$H10*MAX(0,(MIN($G10,DATE(2026,7,31))-MAX($E10,DATE(2026,7,1))+1))/30.4</f>
        <v>0.855263157894737</v>
      </c>
      <c r="X10" s="17" t="n">
        <f aca="false">$H10*MAX(0,(MIN($G10,DATE(2026,8,31))-MAX($E10,DATE(2026,8,1))+1))/30.4</f>
        <v>1.01973684210526</v>
      </c>
      <c r="Y10" s="17" t="n">
        <f aca="false">$H10*MAX(0,(MIN($G10,DATE(2026,9,30))-MAX($E10,DATE(2026,9,1))+1))/30.4</f>
        <v>0.690789473684211</v>
      </c>
      <c r="Z10" s="17" t="n">
        <f aca="false">$H10*MAX(0,(MIN($G10,DATE(2026,10,31))-MAX($E10,DATE(2026,10,1))+1))/30.4</f>
        <v>0</v>
      </c>
      <c r="AA10" s="17" t="n">
        <f aca="false">$H10*MAX(0,(MIN($G10,DATE(2026,11,30))-MAX($E10,DATE(2026,11,1))+1))/30.4</f>
        <v>0</v>
      </c>
      <c r="AB10" s="17" t="n">
        <f aca="false">$H10*MAX(0,(MIN($G10,DATE(2026,12,31))-MAX($E10,DATE(2026,12,1))+1))/30.4</f>
        <v>0</v>
      </c>
    </row>
    <row r="11" customFormat="false" ht="15" hidden="false" customHeight="false" outlineLevel="0" collapsed="false">
      <c r="A11" s="10" t="n">
        <v>2</v>
      </c>
      <c r="B11" s="10" t="n">
        <v>5</v>
      </c>
      <c r="C11" s="10" t="s">
        <v>114</v>
      </c>
      <c r="D11" s="10" t="s">
        <v>58</v>
      </c>
      <c r="E11" s="12" t="n">
        <v>46209</v>
      </c>
      <c r="F11" s="10" t="n">
        <v>4</v>
      </c>
      <c r="G11" s="12" t="n">
        <v>46237</v>
      </c>
      <c r="H11" s="13" t="n">
        <v>0.125</v>
      </c>
      <c r="I11" s="10" t="s">
        <v>113</v>
      </c>
      <c r="J11" s="14" t="str">
        <f aca="false">IFERROR(VLOOKUP(D11,Role_Mapping!$A$5:$D$31,2,FALSE()),"UNMAPPED")</f>
        <v>Solutions Enabler</v>
      </c>
      <c r="K11" s="14" t="str">
        <f aca="false">IFERROR(VLOOKUP(D11,Role_Mapping!$A$5:$D$31,3,FALSE()),"IN")</f>
        <v>IN</v>
      </c>
      <c r="L11" s="15" t="n">
        <f aca="false">IFERROR(SUMPRODUCT((Rate_Card!$A$5:$A$34=J11)*(Rate_Card!$B$5:$B$34=K11)*Rate_Card!$C$5:$C$34),0)</f>
        <v>683</v>
      </c>
      <c r="M11" s="10" t="n">
        <f aca="false">F11*5</f>
        <v>20</v>
      </c>
      <c r="N11" s="16" t="n">
        <f aca="false">L11*M11*H11</f>
        <v>1707.5</v>
      </c>
      <c r="O11" s="10" t="n">
        <f aca="false">(G11-E11)+1</f>
        <v>29</v>
      </c>
      <c r="P11" s="14" t="str">
        <f aca="false">IFERROR(VLOOKUP(D11,Role_Mapping!$A$5:$D$31,4,FALSE()),"UNMAPPED")</f>
        <v>Data Engineering</v>
      </c>
      <c r="Q11" s="16" t="n">
        <f aca="false">$N11*MAX(0,(MIN($G11,DATE(2026,7,31))-MAX($E11,DATE(2026,7,1))+1))/$O11</f>
        <v>1530.86206896552</v>
      </c>
      <c r="R11" s="16" t="n">
        <f aca="false">$N11*MAX(0,(MIN($G11,DATE(2026,8,31))-MAX($E11,DATE(2026,8,1))+1))/$O11</f>
        <v>176.637931034483</v>
      </c>
      <c r="S11" s="16" t="n">
        <f aca="false">$N11*MAX(0,(MIN($G11,DATE(2026,9,30))-MAX($E11,DATE(2026,9,1))+1))/$O11</f>
        <v>0</v>
      </c>
      <c r="T11" s="16" t="n">
        <f aca="false">$N11*MAX(0,(MIN($G11,DATE(2026,10,31))-MAX($E11,DATE(2026,10,1))+1))/$O11</f>
        <v>0</v>
      </c>
      <c r="U11" s="16" t="n">
        <f aca="false">$N11*MAX(0,(MIN($G11,DATE(2026,11,30))-MAX($E11,DATE(2026,11,1))+1))/$O11</f>
        <v>0</v>
      </c>
      <c r="V11" s="16" t="n">
        <f aca="false">$N11*MAX(0,(MIN($G11,DATE(2026,12,31))-MAX($E11,DATE(2026,12,1))+1))/$O11</f>
        <v>0</v>
      </c>
      <c r="W11" s="17" t="n">
        <f aca="false">$H11*MAX(0,(MIN($G11,DATE(2026,7,31))-MAX($E11,DATE(2026,7,1))+1))/30.4</f>
        <v>0.106907894736842</v>
      </c>
      <c r="X11" s="17" t="n">
        <f aca="false">$H11*MAX(0,(MIN($G11,DATE(2026,8,31))-MAX($E11,DATE(2026,8,1))+1))/30.4</f>
        <v>0.0123355263157895</v>
      </c>
      <c r="Y11" s="17" t="n">
        <f aca="false">$H11*MAX(0,(MIN($G11,DATE(2026,9,30))-MAX($E11,DATE(2026,9,1))+1))/30.4</f>
        <v>0</v>
      </c>
      <c r="Z11" s="17" t="n">
        <f aca="false">$H11*MAX(0,(MIN($G11,DATE(2026,10,31))-MAX($E11,DATE(2026,10,1))+1))/30.4</f>
        <v>0</v>
      </c>
      <c r="AA11" s="17" t="n">
        <f aca="false">$H11*MAX(0,(MIN($G11,DATE(2026,11,30))-MAX($E11,DATE(2026,11,1))+1))/30.4</f>
        <v>0</v>
      </c>
      <c r="AB11" s="17" t="n">
        <f aca="false">$H11*MAX(0,(MIN($G11,DATE(2026,12,31))-MAX($E11,DATE(2026,12,1))+1))/30.4</f>
        <v>0</v>
      </c>
    </row>
    <row r="12" customFormat="false" ht="15" hidden="false" customHeight="false" outlineLevel="0" collapsed="false">
      <c r="A12" s="10" t="n">
        <v>2</v>
      </c>
      <c r="B12" s="10" t="n">
        <v>5</v>
      </c>
      <c r="C12" s="10" t="s">
        <v>114</v>
      </c>
      <c r="D12" s="10" t="s">
        <v>80</v>
      </c>
      <c r="E12" s="12" t="n">
        <v>46209</v>
      </c>
      <c r="F12" s="10" t="n">
        <v>4</v>
      </c>
      <c r="G12" s="12" t="n">
        <v>46237</v>
      </c>
      <c r="H12" s="13" t="n">
        <v>0.5</v>
      </c>
      <c r="I12" s="10" t="s">
        <v>113</v>
      </c>
      <c r="J12" s="14" t="str">
        <f aca="false">IFERROR(VLOOKUP(D12,Role_Mapping!$A$5:$D$31,2,FALSE()),"UNMAPPED")</f>
        <v>Solutions Consultant</v>
      </c>
      <c r="K12" s="14" t="str">
        <f aca="false">IFERROR(VLOOKUP(D12,Role_Mapping!$A$5:$D$31,3,FALSE()),"IN")</f>
        <v>IN</v>
      </c>
      <c r="L12" s="15" t="n">
        <f aca="false">IFERROR(SUMPRODUCT((Rate_Card!$A$5:$A$34=J12)*(Rate_Card!$B$5:$B$34=K12)*Rate_Card!$C$5:$C$34),0)</f>
        <v>683</v>
      </c>
      <c r="M12" s="10" t="n">
        <f aca="false">F12*5</f>
        <v>20</v>
      </c>
      <c r="N12" s="16" t="n">
        <f aca="false">L12*M12*H12</f>
        <v>6830</v>
      </c>
      <c r="O12" s="10" t="n">
        <f aca="false">(G12-E12)+1</f>
        <v>29</v>
      </c>
      <c r="P12" s="14" t="str">
        <f aca="false">IFERROR(VLOOKUP(D12,Role_Mapping!$A$5:$D$31,4,FALSE()),"UNMAPPED")</f>
        <v>Power BI &amp; Consulting</v>
      </c>
      <c r="Q12" s="16" t="n">
        <f aca="false">$N12*MAX(0,(MIN($G12,DATE(2026,7,31))-MAX($E12,DATE(2026,7,1))+1))/$O12</f>
        <v>6123.44827586207</v>
      </c>
      <c r="R12" s="16" t="n">
        <f aca="false">$N12*MAX(0,(MIN($G12,DATE(2026,8,31))-MAX($E12,DATE(2026,8,1))+1))/$O12</f>
        <v>706.551724137931</v>
      </c>
      <c r="S12" s="16" t="n">
        <f aca="false">$N12*MAX(0,(MIN($G12,DATE(2026,9,30))-MAX($E12,DATE(2026,9,1))+1))/$O12</f>
        <v>0</v>
      </c>
      <c r="T12" s="16" t="n">
        <f aca="false">$N12*MAX(0,(MIN($G12,DATE(2026,10,31))-MAX($E12,DATE(2026,10,1))+1))/$O12</f>
        <v>0</v>
      </c>
      <c r="U12" s="16" t="n">
        <f aca="false">$N12*MAX(0,(MIN($G12,DATE(2026,11,30))-MAX($E12,DATE(2026,11,1))+1))/$O12</f>
        <v>0</v>
      </c>
      <c r="V12" s="16" t="n">
        <f aca="false">$N12*MAX(0,(MIN($G12,DATE(2026,12,31))-MAX($E12,DATE(2026,12,1))+1))/$O12</f>
        <v>0</v>
      </c>
      <c r="W12" s="17" t="n">
        <f aca="false">$H12*MAX(0,(MIN($G12,DATE(2026,7,31))-MAX($E12,DATE(2026,7,1))+1))/30.4</f>
        <v>0.427631578947368</v>
      </c>
      <c r="X12" s="17" t="n">
        <f aca="false">$H12*MAX(0,(MIN($G12,DATE(2026,8,31))-MAX($E12,DATE(2026,8,1))+1))/30.4</f>
        <v>0.0493421052631579</v>
      </c>
      <c r="Y12" s="17" t="n">
        <f aca="false">$H12*MAX(0,(MIN($G12,DATE(2026,9,30))-MAX($E12,DATE(2026,9,1))+1))/30.4</f>
        <v>0</v>
      </c>
      <c r="Z12" s="17" t="n">
        <f aca="false">$H12*MAX(0,(MIN($G12,DATE(2026,10,31))-MAX($E12,DATE(2026,10,1))+1))/30.4</f>
        <v>0</v>
      </c>
      <c r="AA12" s="17" t="n">
        <f aca="false">$H12*MAX(0,(MIN($G12,DATE(2026,11,30))-MAX($E12,DATE(2026,11,1))+1))/30.4</f>
        <v>0</v>
      </c>
      <c r="AB12" s="17" t="n">
        <f aca="false">$H12*MAX(0,(MIN($G12,DATE(2026,12,31))-MAX($E12,DATE(2026,12,1))+1))/30.4</f>
        <v>0</v>
      </c>
    </row>
    <row r="13" customFormat="false" ht="15" hidden="false" customHeight="false" outlineLevel="0" collapsed="false">
      <c r="A13" s="10" t="n">
        <v>2</v>
      </c>
      <c r="B13" s="10" t="n">
        <v>5</v>
      </c>
      <c r="C13" s="10" t="s">
        <v>114</v>
      </c>
      <c r="D13" s="10" t="s">
        <v>75</v>
      </c>
      <c r="E13" s="12" t="n">
        <v>46209</v>
      </c>
      <c r="F13" s="10" t="n">
        <v>4</v>
      </c>
      <c r="G13" s="12" t="n">
        <v>46237</v>
      </c>
      <c r="H13" s="13" t="n">
        <v>1</v>
      </c>
      <c r="I13" s="10" t="s">
        <v>113</v>
      </c>
      <c r="J13" s="14" t="str">
        <f aca="false">IFERROR(VLOOKUP(D13,Role_Mapping!$A$5:$D$31,2,FALSE()),"UNMAPPED")</f>
        <v>Software Engineer</v>
      </c>
      <c r="K13" s="14" t="str">
        <f aca="false">IFERROR(VLOOKUP(D13,Role_Mapping!$A$5:$D$31,3,FALSE()),"IN")</f>
        <v>IN</v>
      </c>
      <c r="L13" s="15" t="n">
        <f aca="false">IFERROR(SUMPRODUCT((Rate_Card!$A$5:$A$34=J13)*(Rate_Card!$B$5:$B$34=K13)*Rate_Card!$C$5:$C$34),0)</f>
        <v>455</v>
      </c>
      <c r="M13" s="10" t="n">
        <f aca="false">F13*5</f>
        <v>20</v>
      </c>
      <c r="N13" s="16" t="n">
        <f aca="false">L13*M13*H13</f>
        <v>9100</v>
      </c>
      <c r="O13" s="10" t="n">
        <f aca="false">(G13-E13)+1</f>
        <v>29</v>
      </c>
      <c r="P13" s="14" t="str">
        <f aca="false">IFERROR(VLOOKUP(D13,Role_Mapping!$A$5:$D$31,4,FALSE()),"UNMAPPED")</f>
        <v>Full Stack</v>
      </c>
      <c r="Q13" s="16" t="n">
        <f aca="false">$N13*MAX(0,(MIN($G13,DATE(2026,7,31))-MAX($E13,DATE(2026,7,1))+1))/$O13</f>
        <v>8158.62068965517</v>
      </c>
      <c r="R13" s="16" t="n">
        <f aca="false">$N13*MAX(0,(MIN($G13,DATE(2026,8,31))-MAX($E13,DATE(2026,8,1))+1))/$O13</f>
        <v>941.379310344828</v>
      </c>
      <c r="S13" s="16" t="n">
        <f aca="false">$N13*MAX(0,(MIN($G13,DATE(2026,9,30))-MAX($E13,DATE(2026,9,1))+1))/$O13</f>
        <v>0</v>
      </c>
      <c r="T13" s="16" t="n">
        <f aca="false">$N13*MAX(0,(MIN($G13,DATE(2026,10,31))-MAX($E13,DATE(2026,10,1))+1))/$O13</f>
        <v>0</v>
      </c>
      <c r="U13" s="16" t="n">
        <f aca="false">$N13*MAX(0,(MIN($G13,DATE(2026,11,30))-MAX($E13,DATE(2026,11,1))+1))/$O13</f>
        <v>0</v>
      </c>
      <c r="V13" s="16" t="n">
        <f aca="false">$N13*MAX(0,(MIN($G13,DATE(2026,12,31))-MAX($E13,DATE(2026,12,1))+1))/$O13</f>
        <v>0</v>
      </c>
      <c r="W13" s="17" t="n">
        <f aca="false">$H13*MAX(0,(MIN($G13,DATE(2026,7,31))-MAX($E13,DATE(2026,7,1))+1))/30.4</f>
        <v>0.855263157894737</v>
      </c>
      <c r="X13" s="17" t="n">
        <f aca="false">$H13*MAX(0,(MIN($G13,DATE(2026,8,31))-MAX($E13,DATE(2026,8,1))+1))/30.4</f>
        <v>0.0986842105263158</v>
      </c>
      <c r="Y13" s="17" t="n">
        <f aca="false">$H13*MAX(0,(MIN($G13,DATE(2026,9,30))-MAX($E13,DATE(2026,9,1))+1))/30.4</f>
        <v>0</v>
      </c>
      <c r="Z13" s="17" t="n">
        <f aca="false">$H13*MAX(0,(MIN($G13,DATE(2026,10,31))-MAX($E13,DATE(2026,10,1))+1))/30.4</f>
        <v>0</v>
      </c>
      <c r="AA13" s="17" t="n">
        <f aca="false">$H13*MAX(0,(MIN($G13,DATE(2026,11,30))-MAX($E13,DATE(2026,11,1))+1))/30.4</f>
        <v>0</v>
      </c>
      <c r="AB13" s="17" t="n">
        <f aca="false">$H13*MAX(0,(MIN($G13,DATE(2026,12,31))-MAX($E13,DATE(2026,12,1))+1))/30.4</f>
        <v>0</v>
      </c>
    </row>
    <row r="14" customFormat="false" ht="15" hidden="false" customHeight="false" outlineLevel="0" collapsed="false">
      <c r="A14" s="10" t="n">
        <v>3</v>
      </c>
      <c r="B14" s="10" t="n">
        <v>4</v>
      </c>
      <c r="C14" s="10" t="s">
        <v>115</v>
      </c>
      <c r="D14" s="10" t="s">
        <v>52</v>
      </c>
      <c r="E14" s="12" t="n">
        <v>46209</v>
      </c>
      <c r="F14" s="10" t="n">
        <v>5</v>
      </c>
      <c r="G14" s="12" t="n">
        <v>46244</v>
      </c>
      <c r="H14" s="13" t="n">
        <v>0.375</v>
      </c>
      <c r="I14" s="10" t="s">
        <v>113</v>
      </c>
      <c r="J14" s="14" t="str">
        <f aca="false">IFERROR(VLOOKUP(D14,Role_Mapping!$A$5:$D$31,2,FALSE()),"UNMAPPED")</f>
        <v>Associate Partner</v>
      </c>
      <c r="K14" s="14" t="str">
        <f aca="false">IFERROR(VLOOKUP(D14,Role_Mapping!$A$5:$D$31,3,FALSE()),"IN")</f>
        <v>UK</v>
      </c>
      <c r="L14" s="15" t="n">
        <f aca="false">IFERROR(SUMPRODUCT((Rate_Card!$A$5:$A$34=J14)*(Rate_Card!$B$5:$B$34=K14)*Rate_Card!$C$5:$C$34),0)</f>
        <v>3526</v>
      </c>
      <c r="M14" s="10" t="n">
        <f aca="false">F14*5</f>
        <v>25</v>
      </c>
      <c r="N14" s="16" t="n">
        <f aca="false">L14*M14*H14</f>
        <v>33056.25</v>
      </c>
      <c r="O14" s="10" t="n">
        <f aca="false">(G14-E14)+1</f>
        <v>36</v>
      </c>
      <c r="P14" s="14" t="str">
        <f aca="false">IFERROR(VLOOKUP(D14,Role_Mapping!$A$5:$D$31,4,FALSE()),"UNMAPPED")</f>
        <v>GTM</v>
      </c>
      <c r="Q14" s="16" t="n">
        <f aca="false">$N14*MAX(0,(MIN($G14,DATE(2026,7,31))-MAX($E14,DATE(2026,7,1))+1))/$O14</f>
        <v>23873.9583333333</v>
      </c>
      <c r="R14" s="16" t="n">
        <f aca="false">$N14*MAX(0,(MIN($G14,DATE(2026,8,31))-MAX($E14,DATE(2026,8,1))+1))/$O14</f>
        <v>9182.29166666667</v>
      </c>
      <c r="S14" s="16" t="n">
        <f aca="false">$N14*MAX(0,(MIN($G14,DATE(2026,9,30))-MAX($E14,DATE(2026,9,1))+1))/$O14</f>
        <v>0</v>
      </c>
      <c r="T14" s="16" t="n">
        <f aca="false">$N14*MAX(0,(MIN($G14,DATE(2026,10,31))-MAX($E14,DATE(2026,10,1))+1))/$O14</f>
        <v>0</v>
      </c>
      <c r="U14" s="16" t="n">
        <f aca="false">$N14*MAX(0,(MIN($G14,DATE(2026,11,30))-MAX($E14,DATE(2026,11,1))+1))/$O14</f>
        <v>0</v>
      </c>
      <c r="V14" s="16" t="n">
        <f aca="false">$N14*MAX(0,(MIN($G14,DATE(2026,12,31))-MAX($E14,DATE(2026,12,1))+1))/$O14</f>
        <v>0</v>
      </c>
      <c r="W14" s="17" t="n">
        <f aca="false">$H14*MAX(0,(MIN($G14,DATE(2026,7,31))-MAX($E14,DATE(2026,7,1))+1))/30.4</f>
        <v>0.320723684210526</v>
      </c>
      <c r="X14" s="17" t="n">
        <f aca="false">$H14*MAX(0,(MIN($G14,DATE(2026,8,31))-MAX($E14,DATE(2026,8,1))+1))/30.4</f>
        <v>0.123355263157895</v>
      </c>
      <c r="Y14" s="17" t="n">
        <f aca="false">$H14*MAX(0,(MIN($G14,DATE(2026,9,30))-MAX($E14,DATE(2026,9,1))+1))/30.4</f>
        <v>0</v>
      </c>
      <c r="Z14" s="17" t="n">
        <f aca="false">$H14*MAX(0,(MIN($G14,DATE(2026,10,31))-MAX($E14,DATE(2026,10,1))+1))/30.4</f>
        <v>0</v>
      </c>
      <c r="AA14" s="17" t="n">
        <f aca="false">$H14*MAX(0,(MIN($G14,DATE(2026,11,30))-MAX($E14,DATE(2026,11,1))+1))/30.4</f>
        <v>0</v>
      </c>
      <c r="AB14" s="17" t="n">
        <f aca="false">$H14*MAX(0,(MIN($G14,DATE(2026,12,31))-MAX($E14,DATE(2026,12,1))+1))/30.4</f>
        <v>0</v>
      </c>
    </row>
    <row r="15" customFormat="false" ht="15" hidden="false" customHeight="false" outlineLevel="0" collapsed="false">
      <c r="A15" s="10" t="n">
        <v>3</v>
      </c>
      <c r="B15" s="10" t="n">
        <v>4</v>
      </c>
      <c r="C15" s="10" t="s">
        <v>115</v>
      </c>
      <c r="D15" s="10" t="s">
        <v>64</v>
      </c>
      <c r="E15" s="12" t="n">
        <v>46209</v>
      </c>
      <c r="F15" s="10" t="n">
        <v>5</v>
      </c>
      <c r="G15" s="12" t="n">
        <v>46244</v>
      </c>
      <c r="H15" s="13" t="n">
        <v>0.25</v>
      </c>
      <c r="I15" s="10" t="s">
        <v>113</v>
      </c>
      <c r="J15" s="14" t="str">
        <f aca="false">IFERROR(VLOOKUP(D15,Role_Mapping!$A$5:$D$31,2,FALSE()),"UNMAPPED")</f>
        <v>Principal Technology Architect</v>
      </c>
      <c r="K15" s="14" t="str">
        <f aca="false">IFERROR(VLOOKUP(D15,Role_Mapping!$A$5:$D$31,3,FALSE()),"IN")</f>
        <v>IN</v>
      </c>
      <c r="L15" s="15" t="n">
        <f aca="false">IFERROR(SUMPRODUCT((Rate_Card!$A$5:$A$34=J15)*(Rate_Card!$B$5:$B$34=K15)*Rate_Card!$C$5:$C$34),0)</f>
        <v>845</v>
      </c>
      <c r="M15" s="10" t="n">
        <f aca="false">F15*5</f>
        <v>25</v>
      </c>
      <c r="N15" s="16" t="n">
        <f aca="false">L15*M15*H15</f>
        <v>5281.25</v>
      </c>
      <c r="O15" s="10" t="n">
        <f aca="false">(G15-E15)+1</f>
        <v>36</v>
      </c>
      <c r="P15" s="14" t="str">
        <f aca="false">IFERROR(VLOOKUP(D15,Role_Mapping!$A$5:$D$31,4,FALSE()),"UNMAPPED")</f>
        <v>Full Stack</v>
      </c>
      <c r="Q15" s="16" t="n">
        <f aca="false">$N15*MAX(0,(MIN($G15,DATE(2026,7,31))-MAX($E15,DATE(2026,7,1))+1))/$O15</f>
        <v>3814.23611111111</v>
      </c>
      <c r="R15" s="16" t="n">
        <f aca="false">$N15*MAX(0,(MIN($G15,DATE(2026,8,31))-MAX($E15,DATE(2026,8,1))+1))/$O15</f>
        <v>1467.01388888889</v>
      </c>
      <c r="S15" s="16" t="n">
        <f aca="false">$N15*MAX(0,(MIN($G15,DATE(2026,9,30))-MAX($E15,DATE(2026,9,1))+1))/$O15</f>
        <v>0</v>
      </c>
      <c r="T15" s="16" t="n">
        <f aca="false">$N15*MAX(0,(MIN($G15,DATE(2026,10,31))-MAX($E15,DATE(2026,10,1))+1))/$O15</f>
        <v>0</v>
      </c>
      <c r="U15" s="16" t="n">
        <f aca="false">$N15*MAX(0,(MIN($G15,DATE(2026,11,30))-MAX($E15,DATE(2026,11,1))+1))/$O15</f>
        <v>0</v>
      </c>
      <c r="V15" s="16" t="n">
        <f aca="false">$N15*MAX(0,(MIN($G15,DATE(2026,12,31))-MAX($E15,DATE(2026,12,1))+1))/$O15</f>
        <v>0</v>
      </c>
      <c r="W15" s="17" t="n">
        <f aca="false">$H15*MAX(0,(MIN($G15,DATE(2026,7,31))-MAX($E15,DATE(2026,7,1))+1))/30.4</f>
        <v>0.213815789473684</v>
      </c>
      <c r="X15" s="17" t="n">
        <f aca="false">$H15*MAX(0,(MIN($G15,DATE(2026,8,31))-MAX($E15,DATE(2026,8,1))+1))/30.4</f>
        <v>0.0822368421052632</v>
      </c>
      <c r="Y15" s="17" t="n">
        <f aca="false">$H15*MAX(0,(MIN($G15,DATE(2026,9,30))-MAX($E15,DATE(2026,9,1))+1))/30.4</f>
        <v>0</v>
      </c>
      <c r="Z15" s="17" t="n">
        <f aca="false">$H15*MAX(0,(MIN($G15,DATE(2026,10,31))-MAX($E15,DATE(2026,10,1))+1))/30.4</f>
        <v>0</v>
      </c>
      <c r="AA15" s="17" t="n">
        <f aca="false">$H15*MAX(0,(MIN($G15,DATE(2026,11,30))-MAX($E15,DATE(2026,11,1))+1))/30.4</f>
        <v>0</v>
      </c>
      <c r="AB15" s="17" t="n">
        <f aca="false">$H15*MAX(0,(MIN($G15,DATE(2026,12,31))-MAX($E15,DATE(2026,12,1))+1))/30.4</f>
        <v>0</v>
      </c>
    </row>
    <row r="16" customFormat="false" ht="15" hidden="false" customHeight="false" outlineLevel="0" collapsed="false">
      <c r="A16" s="10" t="n">
        <v>3</v>
      </c>
      <c r="B16" s="10" t="n">
        <v>4</v>
      </c>
      <c r="C16" s="10" t="s">
        <v>115</v>
      </c>
      <c r="D16" s="10" t="s">
        <v>73</v>
      </c>
      <c r="E16" s="12" t="n">
        <v>46209</v>
      </c>
      <c r="F16" s="10" t="n">
        <v>5</v>
      </c>
      <c r="G16" s="12" t="n">
        <v>46244</v>
      </c>
      <c r="H16" s="13" t="n">
        <v>0.5</v>
      </c>
      <c r="I16" s="10" t="s">
        <v>113</v>
      </c>
      <c r="J16" s="14" t="str">
        <f aca="false">IFERROR(VLOOKUP(D16,Role_Mapping!$A$5:$D$31,2,FALSE()),"UNMAPPED")</f>
        <v>Senior Consultant</v>
      </c>
      <c r="K16" s="14" t="str">
        <f aca="false">IFERROR(VLOOKUP(D16,Role_Mapping!$A$5:$D$31,3,FALSE()),"IN")</f>
        <v>UK</v>
      </c>
      <c r="L16" s="15" t="n">
        <f aca="false">IFERROR(SUMPRODUCT((Rate_Card!$A$5:$A$34=J16)*(Rate_Card!$B$5:$B$34=K16)*Rate_Card!$C$5:$C$34),0)</f>
        <v>2798</v>
      </c>
      <c r="M16" s="10" t="n">
        <f aca="false">F16*5</f>
        <v>25</v>
      </c>
      <c r="N16" s="16" t="n">
        <f aca="false">L16*M16*H16</f>
        <v>34975</v>
      </c>
      <c r="O16" s="10" t="n">
        <f aca="false">(G16-E16)+1</f>
        <v>36</v>
      </c>
      <c r="P16" s="14" t="str">
        <f aca="false">IFERROR(VLOOKUP(D16,Role_Mapping!$A$5:$D$31,4,FALSE()),"UNMAPPED")</f>
        <v>Consulting</v>
      </c>
      <c r="Q16" s="16" t="n">
        <f aca="false">$N16*MAX(0,(MIN($G16,DATE(2026,7,31))-MAX($E16,DATE(2026,7,1))+1))/$O16</f>
        <v>25259.7222222222</v>
      </c>
      <c r="R16" s="16" t="n">
        <f aca="false">$N16*MAX(0,(MIN($G16,DATE(2026,8,31))-MAX($E16,DATE(2026,8,1))+1))/$O16</f>
        <v>9715.27777777778</v>
      </c>
      <c r="S16" s="16" t="n">
        <f aca="false">$N16*MAX(0,(MIN($G16,DATE(2026,9,30))-MAX($E16,DATE(2026,9,1))+1))/$O16</f>
        <v>0</v>
      </c>
      <c r="T16" s="16" t="n">
        <f aca="false">$N16*MAX(0,(MIN($G16,DATE(2026,10,31))-MAX($E16,DATE(2026,10,1))+1))/$O16</f>
        <v>0</v>
      </c>
      <c r="U16" s="16" t="n">
        <f aca="false">$N16*MAX(0,(MIN($G16,DATE(2026,11,30))-MAX($E16,DATE(2026,11,1))+1))/$O16</f>
        <v>0</v>
      </c>
      <c r="V16" s="16" t="n">
        <f aca="false">$N16*MAX(0,(MIN($G16,DATE(2026,12,31))-MAX($E16,DATE(2026,12,1))+1))/$O16</f>
        <v>0</v>
      </c>
      <c r="W16" s="17" t="n">
        <f aca="false">$H16*MAX(0,(MIN($G16,DATE(2026,7,31))-MAX($E16,DATE(2026,7,1))+1))/30.4</f>
        <v>0.427631578947368</v>
      </c>
      <c r="X16" s="17" t="n">
        <f aca="false">$H16*MAX(0,(MIN($G16,DATE(2026,8,31))-MAX($E16,DATE(2026,8,1))+1))/30.4</f>
        <v>0.164473684210526</v>
      </c>
      <c r="Y16" s="17" t="n">
        <f aca="false">$H16*MAX(0,(MIN($G16,DATE(2026,9,30))-MAX($E16,DATE(2026,9,1))+1))/30.4</f>
        <v>0</v>
      </c>
      <c r="Z16" s="17" t="n">
        <f aca="false">$H16*MAX(0,(MIN($G16,DATE(2026,10,31))-MAX($E16,DATE(2026,10,1))+1))/30.4</f>
        <v>0</v>
      </c>
      <c r="AA16" s="17" t="n">
        <f aca="false">$H16*MAX(0,(MIN($G16,DATE(2026,11,30))-MAX($E16,DATE(2026,11,1))+1))/30.4</f>
        <v>0</v>
      </c>
      <c r="AB16" s="17" t="n">
        <f aca="false">$H16*MAX(0,(MIN($G16,DATE(2026,12,31))-MAX($E16,DATE(2026,12,1))+1))/30.4</f>
        <v>0</v>
      </c>
    </row>
    <row r="17" customFormat="false" ht="15" hidden="false" customHeight="false" outlineLevel="0" collapsed="false">
      <c r="A17" s="10" t="n">
        <v>3</v>
      </c>
      <c r="B17" s="10" t="n">
        <v>4</v>
      </c>
      <c r="C17" s="10" t="s">
        <v>115</v>
      </c>
      <c r="D17" s="10" t="s">
        <v>67</v>
      </c>
      <c r="E17" s="12" t="n">
        <v>46209</v>
      </c>
      <c r="F17" s="10" t="n">
        <v>5</v>
      </c>
      <c r="G17" s="12" t="n">
        <v>46244</v>
      </c>
      <c r="H17" s="13" t="n">
        <v>1</v>
      </c>
      <c r="I17" s="10" t="s">
        <v>113</v>
      </c>
      <c r="J17" s="14" t="str">
        <f aca="false">IFERROR(VLOOKUP(D17,Role_Mapping!$A$5:$D$31,2,FALSE()),"UNMAPPED")</f>
        <v>Senior Associate Consultant</v>
      </c>
      <c r="K17" s="14" t="str">
        <f aca="false">IFERROR(VLOOKUP(D17,Role_Mapping!$A$5:$D$31,3,FALSE()),"IN")</f>
        <v>IN</v>
      </c>
      <c r="L17" s="15" t="n">
        <f aca="false">IFERROR(SUMPRODUCT((Rate_Card!$A$5:$A$34=J17)*(Rate_Card!$B$5:$B$34=K17)*Rate_Card!$C$5:$C$34),0)</f>
        <v>683</v>
      </c>
      <c r="M17" s="10" t="n">
        <f aca="false">F17*5</f>
        <v>25</v>
      </c>
      <c r="N17" s="16" t="n">
        <f aca="false">L17*M17*H17</f>
        <v>17075</v>
      </c>
      <c r="O17" s="10" t="n">
        <f aca="false">(G17-E17)+1</f>
        <v>36</v>
      </c>
      <c r="P17" s="14" t="str">
        <f aca="false">IFERROR(VLOOKUP(D17,Role_Mapping!$A$5:$D$31,4,FALSE()),"UNMAPPED")</f>
        <v>Consulting</v>
      </c>
      <c r="Q17" s="16" t="n">
        <f aca="false">$N17*MAX(0,(MIN($G17,DATE(2026,7,31))-MAX($E17,DATE(2026,7,1))+1))/$O17</f>
        <v>12331.9444444444</v>
      </c>
      <c r="R17" s="16" t="n">
        <f aca="false">$N17*MAX(0,(MIN($G17,DATE(2026,8,31))-MAX($E17,DATE(2026,8,1))+1))/$O17</f>
        <v>4743.05555555556</v>
      </c>
      <c r="S17" s="16" t="n">
        <f aca="false">$N17*MAX(0,(MIN($G17,DATE(2026,9,30))-MAX($E17,DATE(2026,9,1))+1))/$O17</f>
        <v>0</v>
      </c>
      <c r="T17" s="16" t="n">
        <f aca="false">$N17*MAX(0,(MIN($G17,DATE(2026,10,31))-MAX($E17,DATE(2026,10,1))+1))/$O17</f>
        <v>0</v>
      </c>
      <c r="U17" s="16" t="n">
        <f aca="false">$N17*MAX(0,(MIN($G17,DATE(2026,11,30))-MAX($E17,DATE(2026,11,1))+1))/$O17</f>
        <v>0</v>
      </c>
      <c r="V17" s="16" t="n">
        <f aca="false">$N17*MAX(0,(MIN($G17,DATE(2026,12,31))-MAX($E17,DATE(2026,12,1))+1))/$O17</f>
        <v>0</v>
      </c>
      <c r="W17" s="17" t="n">
        <f aca="false">$H17*MAX(0,(MIN($G17,DATE(2026,7,31))-MAX($E17,DATE(2026,7,1))+1))/30.4</f>
        <v>0.855263157894737</v>
      </c>
      <c r="X17" s="17" t="n">
        <f aca="false">$H17*MAX(0,(MIN($G17,DATE(2026,8,31))-MAX($E17,DATE(2026,8,1))+1))/30.4</f>
        <v>0.328947368421053</v>
      </c>
      <c r="Y17" s="17" t="n">
        <f aca="false">$H17*MAX(0,(MIN($G17,DATE(2026,9,30))-MAX($E17,DATE(2026,9,1))+1))/30.4</f>
        <v>0</v>
      </c>
      <c r="Z17" s="17" t="n">
        <f aca="false">$H17*MAX(0,(MIN($G17,DATE(2026,10,31))-MAX($E17,DATE(2026,10,1))+1))/30.4</f>
        <v>0</v>
      </c>
      <c r="AA17" s="17" t="n">
        <f aca="false">$H17*MAX(0,(MIN($G17,DATE(2026,11,30))-MAX($E17,DATE(2026,11,1))+1))/30.4</f>
        <v>0</v>
      </c>
      <c r="AB17" s="17" t="n">
        <f aca="false">$H17*MAX(0,(MIN($G17,DATE(2026,12,31))-MAX($E17,DATE(2026,12,1))+1))/30.4</f>
        <v>0</v>
      </c>
    </row>
    <row r="18" customFormat="false" ht="15" hidden="false" customHeight="false" outlineLevel="0" collapsed="false">
      <c r="A18" s="10" t="n">
        <v>3</v>
      </c>
      <c r="B18" s="10" t="n">
        <v>4</v>
      </c>
      <c r="C18" s="10" t="s">
        <v>115</v>
      </c>
      <c r="D18" s="10" t="s">
        <v>67</v>
      </c>
      <c r="E18" s="12" t="n">
        <v>46209</v>
      </c>
      <c r="F18" s="10" t="n">
        <v>5</v>
      </c>
      <c r="G18" s="12" t="n">
        <v>46244</v>
      </c>
      <c r="H18" s="13" t="n">
        <v>1</v>
      </c>
      <c r="I18" s="10" t="s">
        <v>113</v>
      </c>
      <c r="J18" s="14" t="str">
        <f aca="false">IFERROR(VLOOKUP(D18,Role_Mapping!$A$5:$D$31,2,FALSE()),"UNMAPPED")</f>
        <v>Senior Associate Consultant</v>
      </c>
      <c r="K18" s="14" t="str">
        <f aca="false">IFERROR(VLOOKUP(D18,Role_Mapping!$A$5:$D$31,3,FALSE()),"IN")</f>
        <v>IN</v>
      </c>
      <c r="L18" s="15" t="n">
        <f aca="false">IFERROR(SUMPRODUCT((Rate_Card!$A$5:$A$34=J18)*(Rate_Card!$B$5:$B$34=K18)*Rate_Card!$C$5:$C$34),0)</f>
        <v>683</v>
      </c>
      <c r="M18" s="10" t="n">
        <f aca="false">F18*5</f>
        <v>25</v>
      </c>
      <c r="N18" s="16" t="n">
        <f aca="false">L18*M18*H18</f>
        <v>17075</v>
      </c>
      <c r="O18" s="10" t="n">
        <f aca="false">(G18-E18)+1</f>
        <v>36</v>
      </c>
      <c r="P18" s="14" t="str">
        <f aca="false">IFERROR(VLOOKUP(D18,Role_Mapping!$A$5:$D$31,4,FALSE()),"UNMAPPED")</f>
        <v>Consulting</v>
      </c>
      <c r="Q18" s="16" t="n">
        <f aca="false">$N18*MAX(0,(MIN($G18,DATE(2026,7,31))-MAX($E18,DATE(2026,7,1))+1))/$O18</f>
        <v>12331.9444444444</v>
      </c>
      <c r="R18" s="16" t="n">
        <f aca="false">$N18*MAX(0,(MIN($G18,DATE(2026,8,31))-MAX($E18,DATE(2026,8,1))+1))/$O18</f>
        <v>4743.05555555556</v>
      </c>
      <c r="S18" s="16" t="n">
        <f aca="false">$N18*MAX(0,(MIN($G18,DATE(2026,9,30))-MAX($E18,DATE(2026,9,1))+1))/$O18</f>
        <v>0</v>
      </c>
      <c r="T18" s="16" t="n">
        <f aca="false">$N18*MAX(0,(MIN($G18,DATE(2026,10,31))-MAX($E18,DATE(2026,10,1))+1))/$O18</f>
        <v>0</v>
      </c>
      <c r="U18" s="16" t="n">
        <f aca="false">$N18*MAX(0,(MIN($G18,DATE(2026,11,30))-MAX($E18,DATE(2026,11,1))+1))/$O18</f>
        <v>0</v>
      </c>
      <c r="V18" s="16" t="n">
        <f aca="false">$N18*MAX(0,(MIN($G18,DATE(2026,12,31))-MAX($E18,DATE(2026,12,1))+1))/$O18</f>
        <v>0</v>
      </c>
      <c r="W18" s="17" t="n">
        <f aca="false">$H18*MAX(0,(MIN($G18,DATE(2026,7,31))-MAX($E18,DATE(2026,7,1))+1))/30.4</f>
        <v>0.855263157894737</v>
      </c>
      <c r="X18" s="17" t="n">
        <f aca="false">$H18*MAX(0,(MIN($G18,DATE(2026,8,31))-MAX($E18,DATE(2026,8,1))+1))/30.4</f>
        <v>0.328947368421053</v>
      </c>
      <c r="Y18" s="17" t="n">
        <f aca="false">$H18*MAX(0,(MIN($G18,DATE(2026,9,30))-MAX($E18,DATE(2026,9,1))+1))/30.4</f>
        <v>0</v>
      </c>
      <c r="Z18" s="17" t="n">
        <f aca="false">$H18*MAX(0,(MIN($G18,DATE(2026,10,31))-MAX($E18,DATE(2026,10,1))+1))/30.4</f>
        <v>0</v>
      </c>
      <c r="AA18" s="17" t="n">
        <f aca="false">$H18*MAX(0,(MIN($G18,DATE(2026,11,30))-MAX($E18,DATE(2026,11,1))+1))/30.4</f>
        <v>0</v>
      </c>
      <c r="AB18" s="17" t="n">
        <f aca="false">$H18*MAX(0,(MIN($G18,DATE(2026,12,31))-MAX($E18,DATE(2026,12,1))+1))/30.4</f>
        <v>0</v>
      </c>
    </row>
    <row r="19" customFormat="false" ht="15" hidden="false" customHeight="false" outlineLevel="0" collapsed="false">
      <c r="A19" s="10" t="n">
        <v>3</v>
      </c>
      <c r="B19" s="10" t="n">
        <v>4</v>
      </c>
      <c r="C19" s="10" t="s">
        <v>115</v>
      </c>
      <c r="D19" s="10" t="s">
        <v>80</v>
      </c>
      <c r="E19" s="12" t="n">
        <v>46209</v>
      </c>
      <c r="F19" s="10" t="n">
        <v>5</v>
      </c>
      <c r="G19" s="12" t="n">
        <v>46244</v>
      </c>
      <c r="H19" s="13" t="n">
        <v>1</v>
      </c>
      <c r="I19" s="10" t="s">
        <v>113</v>
      </c>
      <c r="J19" s="14" t="str">
        <f aca="false">IFERROR(VLOOKUP(D19,Role_Mapping!$A$5:$D$31,2,FALSE()),"UNMAPPED")</f>
        <v>Solutions Consultant</v>
      </c>
      <c r="K19" s="14" t="str">
        <f aca="false">IFERROR(VLOOKUP(D19,Role_Mapping!$A$5:$D$31,3,FALSE()),"IN")</f>
        <v>IN</v>
      </c>
      <c r="L19" s="15" t="n">
        <f aca="false">IFERROR(SUMPRODUCT((Rate_Card!$A$5:$A$34=J19)*(Rate_Card!$B$5:$B$34=K19)*Rate_Card!$C$5:$C$34),0)</f>
        <v>683</v>
      </c>
      <c r="M19" s="10" t="n">
        <f aca="false">F19*5</f>
        <v>25</v>
      </c>
      <c r="N19" s="16" t="n">
        <f aca="false">L19*M19*H19</f>
        <v>17075</v>
      </c>
      <c r="O19" s="10" t="n">
        <f aca="false">(G19-E19)+1</f>
        <v>36</v>
      </c>
      <c r="P19" s="14" t="str">
        <f aca="false">IFERROR(VLOOKUP(D19,Role_Mapping!$A$5:$D$31,4,FALSE()),"UNMAPPED")</f>
        <v>Power BI &amp; Consulting</v>
      </c>
      <c r="Q19" s="16" t="n">
        <f aca="false">$N19*MAX(0,(MIN($G19,DATE(2026,7,31))-MAX($E19,DATE(2026,7,1))+1))/$O19</f>
        <v>12331.9444444444</v>
      </c>
      <c r="R19" s="16" t="n">
        <f aca="false">$N19*MAX(0,(MIN($G19,DATE(2026,8,31))-MAX($E19,DATE(2026,8,1))+1))/$O19</f>
        <v>4743.05555555556</v>
      </c>
      <c r="S19" s="16" t="n">
        <f aca="false">$N19*MAX(0,(MIN($G19,DATE(2026,9,30))-MAX($E19,DATE(2026,9,1))+1))/$O19</f>
        <v>0</v>
      </c>
      <c r="T19" s="16" t="n">
        <f aca="false">$N19*MAX(0,(MIN($G19,DATE(2026,10,31))-MAX($E19,DATE(2026,10,1))+1))/$O19</f>
        <v>0</v>
      </c>
      <c r="U19" s="16" t="n">
        <f aca="false">$N19*MAX(0,(MIN($G19,DATE(2026,11,30))-MAX($E19,DATE(2026,11,1))+1))/$O19</f>
        <v>0</v>
      </c>
      <c r="V19" s="16" t="n">
        <f aca="false">$N19*MAX(0,(MIN($G19,DATE(2026,12,31))-MAX($E19,DATE(2026,12,1))+1))/$O19</f>
        <v>0</v>
      </c>
      <c r="W19" s="17" t="n">
        <f aca="false">$H19*MAX(0,(MIN($G19,DATE(2026,7,31))-MAX($E19,DATE(2026,7,1))+1))/30.4</f>
        <v>0.855263157894737</v>
      </c>
      <c r="X19" s="17" t="n">
        <f aca="false">$H19*MAX(0,(MIN($G19,DATE(2026,8,31))-MAX($E19,DATE(2026,8,1))+1))/30.4</f>
        <v>0.328947368421053</v>
      </c>
      <c r="Y19" s="17" t="n">
        <f aca="false">$H19*MAX(0,(MIN($G19,DATE(2026,9,30))-MAX($E19,DATE(2026,9,1))+1))/30.4</f>
        <v>0</v>
      </c>
      <c r="Z19" s="17" t="n">
        <f aca="false">$H19*MAX(0,(MIN($G19,DATE(2026,10,31))-MAX($E19,DATE(2026,10,1))+1))/30.4</f>
        <v>0</v>
      </c>
      <c r="AA19" s="17" t="n">
        <f aca="false">$H19*MAX(0,(MIN($G19,DATE(2026,11,30))-MAX($E19,DATE(2026,11,1))+1))/30.4</f>
        <v>0</v>
      </c>
      <c r="AB19" s="17" t="n">
        <f aca="false">$H19*MAX(0,(MIN($G19,DATE(2026,12,31))-MAX($E19,DATE(2026,12,1))+1))/30.4</f>
        <v>0</v>
      </c>
    </row>
    <row r="20" customFormat="false" ht="15" hidden="false" customHeight="false" outlineLevel="0" collapsed="false">
      <c r="A20" s="10" t="n">
        <v>3</v>
      </c>
      <c r="B20" s="10" t="n">
        <v>4</v>
      </c>
      <c r="C20" s="10" t="s">
        <v>115</v>
      </c>
      <c r="D20" s="10" t="s">
        <v>58</v>
      </c>
      <c r="E20" s="12" t="n">
        <v>46209</v>
      </c>
      <c r="F20" s="10" t="n">
        <v>5</v>
      </c>
      <c r="G20" s="12" t="n">
        <v>46244</v>
      </c>
      <c r="H20" s="13" t="n">
        <v>1</v>
      </c>
      <c r="I20" s="10" t="s">
        <v>113</v>
      </c>
      <c r="J20" s="14" t="str">
        <f aca="false">IFERROR(VLOOKUP(D20,Role_Mapping!$A$5:$D$31,2,FALSE()),"UNMAPPED")</f>
        <v>Solutions Enabler</v>
      </c>
      <c r="K20" s="14" t="str">
        <f aca="false">IFERROR(VLOOKUP(D20,Role_Mapping!$A$5:$D$31,3,FALSE()),"IN")</f>
        <v>IN</v>
      </c>
      <c r="L20" s="15" t="n">
        <f aca="false">IFERROR(SUMPRODUCT((Rate_Card!$A$5:$A$34=J20)*(Rate_Card!$B$5:$B$34=K20)*Rate_Card!$C$5:$C$34),0)</f>
        <v>683</v>
      </c>
      <c r="M20" s="10" t="n">
        <f aca="false">F20*5</f>
        <v>25</v>
      </c>
      <c r="N20" s="16" t="n">
        <f aca="false">L20*M20*H20</f>
        <v>17075</v>
      </c>
      <c r="O20" s="10" t="n">
        <f aca="false">(G20-E20)+1</f>
        <v>36</v>
      </c>
      <c r="P20" s="14" t="str">
        <f aca="false">IFERROR(VLOOKUP(D20,Role_Mapping!$A$5:$D$31,4,FALSE()),"UNMAPPED")</f>
        <v>Data Engineering</v>
      </c>
      <c r="Q20" s="16" t="n">
        <f aca="false">$N20*MAX(0,(MIN($G20,DATE(2026,7,31))-MAX($E20,DATE(2026,7,1))+1))/$O20</f>
        <v>12331.9444444444</v>
      </c>
      <c r="R20" s="16" t="n">
        <f aca="false">$N20*MAX(0,(MIN($G20,DATE(2026,8,31))-MAX($E20,DATE(2026,8,1))+1))/$O20</f>
        <v>4743.05555555556</v>
      </c>
      <c r="S20" s="16" t="n">
        <f aca="false">$N20*MAX(0,(MIN($G20,DATE(2026,9,30))-MAX($E20,DATE(2026,9,1))+1))/$O20</f>
        <v>0</v>
      </c>
      <c r="T20" s="16" t="n">
        <f aca="false">$N20*MAX(0,(MIN($G20,DATE(2026,10,31))-MAX($E20,DATE(2026,10,1))+1))/$O20</f>
        <v>0</v>
      </c>
      <c r="U20" s="16" t="n">
        <f aca="false">$N20*MAX(0,(MIN($G20,DATE(2026,11,30))-MAX($E20,DATE(2026,11,1))+1))/$O20</f>
        <v>0</v>
      </c>
      <c r="V20" s="16" t="n">
        <f aca="false">$N20*MAX(0,(MIN($G20,DATE(2026,12,31))-MAX($E20,DATE(2026,12,1))+1))/$O20</f>
        <v>0</v>
      </c>
      <c r="W20" s="17" t="n">
        <f aca="false">$H20*MAX(0,(MIN($G20,DATE(2026,7,31))-MAX($E20,DATE(2026,7,1))+1))/30.4</f>
        <v>0.855263157894737</v>
      </c>
      <c r="X20" s="17" t="n">
        <f aca="false">$H20*MAX(0,(MIN($G20,DATE(2026,8,31))-MAX($E20,DATE(2026,8,1))+1))/30.4</f>
        <v>0.328947368421053</v>
      </c>
      <c r="Y20" s="17" t="n">
        <f aca="false">$H20*MAX(0,(MIN($G20,DATE(2026,9,30))-MAX($E20,DATE(2026,9,1))+1))/30.4</f>
        <v>0</v>
      </c>
      <c r="Z20" s="17" t="n">
        <f aca="false">$H20*MAX(0,(MIN($G20,DATE(2026,10,31))-MAX($E20,DATE(2026,10,1))+1))/30.4</f>
        <v>0</v>
      </c>
      <c r="AA20" s="17" t="n">
        <f aca="false">$H20*MAX(0,(MIN($G20,DATE(2026,11,30))-MAX($E20,DATE(2026,11,1))+1))/30.4</f>
        <v>0</v>
      </c>
      <c r="AB20" s="17" t="n">
        <f aca="false">$H20*MAX(0,(MIN($G20,DATE(2026,12,31))-MAX($E20,DATE(2026,12,1))+1))/30.4</f>
        <v>0</v>
      </c>
    </row>
    <row r="21" customFormat="false" ht="15" hidden="false" customHeight="false" outlineLevel="0" collapsed="false">
      <c r="A21" s="10" t="n">
        <v>3</v>
      </c>
      <c r="B21" s="10" t="n">
        <v>4</v>
      </c>
      <c r="C21" s="10" t="s">
        <v>115</v>
      </c>
      <c r="D21" s="10" t="s">
        <v>76</v>
      </c>
      <c r="E21" s="12" t="n">
        <v>46209</v>
      </c>
      <c r="F21" s="10" t="n">
        <v>5</v>
      </c>
      <c r="G21" s="12" t="n">
        <v>46244</v>
      </c>
      <c r="H21" s="13" t="n">
        <v>1</v>
      </c>
      <c r="I21" s="10" t="s">
        <v>113</v>
      </c>
      <c r="J21" s="14" t="str">
        <f aca="false">IFERROR(VLOOKUP(D21,Role_Mapping!$A$5:$D$31,2,FALSE()),"UNMAPPED")</f>
        <v>Senior Software Engineer</v>
      </c>
      <c r="K21" s="14" t="str">
        <f aca="false">IFERROR(VLOOKUP(D21,Role_Mapping!$A$5:$D$31,3,FALSE()),"IN")</f>
        <v>IN</v>
      </c>
      <c r="L21" s="15" t="n">
        <f aca="false">IFERROR(SUMPRODUCT((Rate_Card!$A$5:$A$34=J21)*(Rate_Card!$B$5:$B$34=K21)*Rate_Card!$C$5:$C$34),0)</f>
        <v>585</v>
      </c>
      <c r="M21" s="10" t="n">
        <f aca="false">F21*5</f>
        <v>25</v>
      </c>
      <c r="N21" s="16" t="n">
        <f aca="false">L21*M21*H21</f>
        <v>14625</v>
      </c>
      <c r="O21" s="10" t="n">
        <f aca="false">(G21-E21)+1</f>
        <v>36</v>
      </c>
      <c r="P21" s="14" t="str">
        <f aca="false">IFERROR(VLOOKUP(D21,Role_Mapping!$A$5:$D$31,4,FALSE()),"UNMAPPED")</f>
        <v>Full Stack</v>
      </c>
      <c r="Q21" s="16" t="n">
        <f aca="false">$N21*MAX(0,(MIN($G21,DATE(2026,7,31))-MAX($E21,DATE(2026,7,1))+1))/$O21</f>
        <v>10562.5</v>
      </c>
      <c r="R21" s="16" t="n">
        <f aca="false">$N21*MAX(0,(MIN($G21,DATE(2026,8,31))-MAX($E21,DATE(2026,8,1))+1))/$O21</f>
        <v>4062.5</v>
      </c>
      <c r="S21" s="16" t="n">
        <f aca="false">$N21*MAX(0,(MIN($G21,DATE(2026,9,30))-MAX($E21,DATE(2026,9,1))+1))/$O21</f>
        <v>0</v>
      </c>
      <c r="T21" s="16" t="n">
        <f aca="false">$N21*MAX(0,(MIN($G21,DATE(2026,10,31))-MAX($E21,DATE(2026,10,1))+1))/$O21</f>
        <v>0</v>
      </c>
      <c r="U21" s="16" t="n">
        <f aca="false">$N21*MAX(0,(MIN($G21,DATE(2026,11,30))-MAX($E21,DATE(2026,11,1))+1))/$O21</f>
        <v>0</v>
      </c>
      <c r="V21" s="16" t="n">
        <f aca="false">$N21*MAX(0,(MIN($G21,DATE(2026,12,31))-MAX($E21,DATE(2026,12,1))+1))/$O21</f>
        <v>0</v>
      </c>
      <c r="W21" s="17" t="n">
        <f aca="false">$H21*MAX(0,(MIN($G21,DATE(2026,7,31))-MAX($E21,DATE(2026,7,1))+1))/30.4</f>
        <v>0.855263157894737</v>
      </c>
      <c r="X21" s="17" t="n">
        <f aca="false">$H21*MAX(0,(MIN($G21,DATE(2026,8,31))-MAX($E21,DATE(2026,8,1))+1))/30.4</f>
        <v>0.328947368421053</v>
      </c>
      <c r="Y21" s="17" t="n">
        <f aca="false">$H21*MAX(0,(MIN($G21,DATE(2026,9,30))-MAX($E21,DATE(2026,9,1))+1))/30.4</f>
        <v>0</v>
      </c>
      <c r="Z21" s="17" t="n">
        <f aca="false">$H21*MAX(0,(MIN($G21,DATE(2026,10,31))-MAX($E21,DATE(2026,10,1))+1))/30.4</f>
        <v>0</v>
      </c>
      <c r="AA21" s="17" t="n">
        <f aca="false">$H21*MAX(0,(MIN($G21,DATE(2026,11,30))-MAX($E21,DATE(2026,11,1))+1))/30.4</f>
        <v>0</v>
      </c>
      <c r="AB21" s="17" t="n">
        <f aca="false">$H21*MAX(0,(MIN($G21,DATE(2026,12,31))-MAX($E21,DATE(2026,12,1))+1))/30.4</f>
        <v>0</v>
      </c>
    </row>
    <row r="22" customFormat="false" ht="15" hidden="false" customHeight="false" outlineLevel="0" collapsed="false">
      <c r="A22" s="10" t="n">
        <v>4</v>
      </c>
      <c r="B22" s="10" t="n">
        <v>5</v>
      </c>
      <c r="C22" s="10" t="s">
        <v>116</v>
      </c>
      <c r="D22" s="10" t="s">
        <v>49</v>
      </c>
      <c r="E22" s="12" t="n">
        <v>46223</v>
      </c>
      <c r="F22" s="10" t="n">
        <v>5</v>
      </c>
      <c r="G22" s="12" t="n">
        <v>46258</v>
      </c>
      <c r="H22" s="13" t="n">
        <v>0.125</v>
      </c>
      <c r="I22" s="10" t="s">
        <v>117</v>
      </c>
      <c r="J22" s="14" t="str">
        <f aca="false">IFERROR(VLOOKUP(D22,Role_Mapping!$A$5:$D$31,2,FALSE()),"UNMAPPED")</f>
        <v>Associate Partner</v>
      </c>
      <c r="K22" s="14" t="str">
        <f aca="false">IFERROR(VLOOKUP(D22,Role_Mapping!$A$5:$D$31,3,FALSE()),"IN")</f>
        <v>UK</v>
      </c>
      <c r="L22" s="15" t="n">
        <f aca="false">IFERROR(SUMPRODUCT((Rate_Card!$A$5:$A$34=J22)*(Rate_Card!$B$5:$B$34=K22)*Rate_Card!$C$5:$C$34),0)</f>
        <v>3526</v>
      </c>
      <c r="M22" s="10" t="n">
        <f aca="false">F22*5</f>
        <v>25</v>
      </c>
      <c r="N22" s="16" t="n">
        <f aca="false">L22*M22*H22</f>
        <v>11018.75</v>
      </c>
      <c r="O22" s="10" t="n">
        <f aca="false">(G22-E22)+1</f>
        <v>36</v>
      </c>
      <c r="P22" s="14" t="str">
        <f aca="false">IFERROR(VLOOKUP(D22,Role_Mapping!$A$5:$D$31,4,FALSE()),"UNMAPPED")</f>
        <v>GTM</v>
      </c>
      <c r="Q22" s="16" t="n">
        <f aca="false">$N22*MAX(0,(MIN($G22,DATE(2026,7,31))-MAX($E22,DATE(2026,7,1))+1))/$O22</f>
        <v>3672.91666666667</v>
      </c>
      <c r="R22" s="16" t="n">
        <f aca="false">$N22*MAX(0,(MIN($G22,DATE(2026,8,31))-MAX($E22,DATE(2026,8,1))+1))/$O22</f>
        <v>7345.83333333333</v>
      </c>
      <c r="S22" s="16" t="n">
        <f aca="false">$N22*MAX(0,(MIN($G22,DATE(2026,9,30))-MAX($E22,DATE(2026,9,1))+1))/$O22</f>
        <v>0</v>
      </c>
      <c r="T22" s="16" t="n">
        <f aca="false">$N22*MAX(0,(MIN($G22,DATE(2026,10,31))-MAX($E22,DATE(2026,10,1))+1))/$O22</f>
        <v>0</v>
      </c>
      <c r="U22" s="16" t="n">
        <f aca="false">$N22*MAX(0,(MIN($G22,DATE(2026,11,30))-MAX($E22,DATE(2026,11,1))+1))/$O22</f>
        <v>0</v>
      </c>
      <c r="V22" s="16" t="n">
        <f aca="false">$N22*MAX(0,(MIN($G22,DATE(2026,12,31))-MAX($E22,DATE(2026,12,1))+1))/$O22</f>
        <v>0</v>
      </c>
      <c r="W22" s="17" t="n">
        <f aca="false">$H22*MAX(0,(MIN($G22,DATE(2026,7,31))-MAX($E22,DATE(2026,7,1))+1))/30.4</f>
        <v>0.0493421052631579</v>
      </c>
      <c r="X22" s="17" t="n">
        <f aca="false">$H22*MAX(0,(MIN($G22,DATE(2026,8,31))-MAX($E22,DATE(2026,8,1))+1))/30.4</f>
        <v>0.0986842105263158</v>
      </c>
      <c r="Y22" s="17" t="n">
        <f aca="false">$H22*MAX(0,(MIN($G22,DATE(2026,9,30))-MAX($E22,DATE(2026,9,1))+1))/30.4</f>
        <v>0</v>
      </c>
      <c r="Z22" s="17" t="n">
        <f aca="false">$H22*MAX(0,(MIN($G22,DATE(2026,10,31))-MAX($E22,DATE(2026,10,1))+1))/30.4</f>
        <v>0</v>
      </c>
      <c r="AA22" s="17" t="n">
        <f aca="false">$H22*MAX(0,(MIN($G22,DATE(2026,11,30))-MAX($E22,DATE(2026,11,1))+1))/30.4</f>
        <v>0</v>
      </c>
      <c r="AB22" s="17" t="n">
        <f aca="false">$H22*MAX(0,(MIN($G22,DATE(2026,12,31))-MAX($E22,DATE(2026,12,1))+1))/30.4</f>
        <v>0</v>
      </c>
    </row>
    <row r="23" customFormat="false" ht="15" hidden="false" customHeight="false" outlineLevel="0" collapsed="false">
      <c r="A23" s="10" t="n">
        <v>4</v>
      </c>
      <c r="B23" s="10" t="n">
        <v>5</v>
      </c>
      <c r="C23" s="10" t="s">
        <v>116</v>
      </c>
      <c r="D23" s="10" t="s">
        <v>61</v>
      </c>
      <c r="E23" s="12" t="n">
        <v>46223</v>
      </c>
      <c r="F23" s="10" t="n">
        <v>5</v>
      </c>
      <c r="G23" s="12" t="n">
        <v>46258</v>
      </c>
      <c r="H23" s="13" t="n">
        <v>0.5</v>
      </c>
      <c r="I23" s="10" t="s">
        <v>117</v>
      </c>
      <c r="J23" s="14" t="str">
        <f aca="false">IFERROR(VLOOKUP(D23,Role_Mapping!$A$5:$D$31,2,FALSE()),"UNMAPPED")</f>
        <v>Manager</v>
      </c>
      <c r="K23" s="14" t="str">
        <f aca="false">IFERROR(VLOOKUP(D23,Role_Mapping!$A$5:$D$31,3,FALSE()),"IN")</f>
        <v>UK</v>
      </c>
      <c r="L23" s="15" t="n">
        <f aca="false">IFERROR(SUMPRODUCT((Rate_Card!$A$5:$A$34=J23)*(Rate_Card!$B$5:$B$34=K23)*Rate_Card!$C$5:$C$34),0)</f>
        <v>2984</v>
      </c>
      <c r="M23" s="10" t="n">
        <f aca="false">F23*5</f>
        <v>25</v>
      </c>
      <c r="N23" s="16" t="n">
        <f aca="false">L23*M23*H23</f>
        <v>37300</v>
      </c>
      <c r="O23" s="10" t="n">
        <f aca="false">(G23-E23)+1</f>
        <v>36</v>
      </c>
      <c r="P23" s="14" t="str">
        <f aca="false">IFERROR(VLOOKUP(D23,Role_Mapping!$A$5:$D$31,4,FALSE()),"UNMAPPED")</f>
        <v>Consulting</v>
      </c>
      <c r="Q23" s="16" t="n">
        <f aca="false">$N23*MAX(0,(MIN($G23,DATE(2026,7,31))-MAX($E23,DATE(2026,7,1))+1))/$O23</f>
        <v>12433.3333333333</v>
      </c>
      <c r="R23" s="16" t="n">
        <f aca="false">$N23*MAX(0,(MIN($G23,DATE(2026,8,31))-MAX($E23,DATE(2026,8,1))+1))/$O23</f>
        <v>24866.6666666667</v>
      </c>
      <c r="S23" s="16" t="n">
        <f aca="false">$N23*MAX(0,(MIN($G23,DATE(2026,9,30))-MAX($E23,DATE(2026,9,1))+1))/$O23</f>
        <v>0</v>
      </c>
      <c r="T23" s="16" t="n">
        <f aca="false">$N23*MAX(0,(MIN($G23,DATE(2026,10,31))-MAX($E23,DATE(2026,10,1))+1))/$O23</f>
        <v>0</v>
      </c>
      <c r="U23" s="16" t="n">
        <f aca="false">$N23*MAX(0,(MIN($G23,DATE(2026,11,30))-MAX($E23,DATE(2026,11,1))+1))/$O23</f>
        <v>0</v>
      </c>
      <c r="V23" s="16" t="n">
        <f aca="false">$N23*MAX(0,(MIN($G23,DATE(2026,12,31))-MAX($E23,DATE(2026,12,1))+1))/$O23</f>
        <v>0</v>
      </c>
      <c r="W23" s="17" t="n">
        <f aca="false">$H23*MAX(0,(MIN($G23,DATE(2026,7,31))-MAX($E23,DATE(2026,7,1))+1))/30.4</f>
        <v>0.197368421052632</v>
      </c>
      <c r="X23" s="17" t="n">
        <f aca="false">$H23*MAX(0,(MIN($G23,DATE(2026,8,31))-MAX($E23,DATE(2026,8,1))+1))/30.4</f>
        <v>0.394736842105263</v>
      </c>
      <c r="Y23" s="17" t="n">
        <f aca="false">$H23*MAX(0,(MIN($G23,DATE(2026,9,30))-MAX($E23,DATE(2026,9,1))+1))/30.4</f>
        <v>0</v>
      </c>
      <c r="Z23" s="17" t="n">
        <f aca="false">$H23*MAX(0,(MIN($G23,DATE(2026,10,31))-MAX($E23,DATE(2026,10,1))+1))/30.4</f>
        <v>0</v>
      </c>
      <c r="AA23" s="17" t="n">
        <f aca="false">$H23*MAX(0,(MIN($G23,DATE(2026,11,30))-MAX($E23,DATE(2026,11,1))+1))/30.4</f>
        <v>0</v>
      </c>
      <c r="AB23" s="17" t="n">
        <f aca="false">$H23*MAX(0,(MIN($G23,DATE(2026,12,31))-MAX($E23,DATE(2026,12,1))+1))/30.4</f>
        <v>0</v>
      </c>
    </row>
    <row r="24" customFormat="false" ht="15" hidden="false" customHeight="false" outlineLevel="0" collapsed="false">
      <c r="A24" s="10" t="n">
        <v>4</v>
      </c>
      <c r="B24" s="10" t="n">
        <v>5</v>
      </c>
      <c r="C24" s="10" t="s">
        <v>116</v>
      </c>
      <c r="D24" s="10" t="s">
        <v>72</v>
      </c>
      <c r="E24" s="12" t="n">
        <v>46223</v>
      </c>
      <c r="F24" s="10" t="n">
        <v>5</v>
      </c>
      <c r="G24" s="12" t="n">
        <v>46258</v>
      </c>
      <c r="H24" s="13" t="n">
        <v>0.5</v>
      </c>
      <c r="I24" s="10" t="s">
        <v>117</v>
      </c>
      <c r="J24" s="14" t="str">
        <f aca="false">IFERROR(VLOOKUP(D24,Role_Mapping!$A$5:$D$31,2,FALSE()),"UNMAPPED")</f>
        <v>Senior Consultant</v>
      </c>
      <c r="K24" s="14" t="str">
        <f aca="false">IFERROR(VLOOKUP(D24,Role_Mapping!$A$5:$D$31,3,FALSE()),"IN")</f>
        <v>UK</v>
      </c>
      <c r="L24" s="15" t="n">
        <f aca="false">IFERROR(SUMPRODUCT((Rate_Card!$A$5:$A$34=J24)*(Rate_Card!$B$5:$B$34=K24)*Rate_Card!$C$5:$C$34),0)</f>
        <v>2798</v>
      </c>
      <c r="M24" s="10" t="n">
        <f aca="false">F24*5</f>
        <v>25</v>
      </c>
      <c r="N24" s="16" t="n">
        <f aca="false">L24*M24*H24</f>
        <v>34975</v>
      </c>
      <c r="O24" s="10" t="n">
        <f aca="false">(G24-E24)+1</f>
        <v>36</v>
      </c>
      <c r="P24" s="14" t="str">
        <f aca="false">IFERROR(VLOOKUP(D24,Role_Mapping!$A$5:$D$31,4,FALSE()),"UNMAPPED")</f>
        <v>Consulting</v>
      </c>
      <c r="Q24" s="16" t="n">
        <f aca="false">$N24*MAX(0,(MIN($G24,DATE(2026,7,31))-MAX($E24,DATE(2026,7,1))+1))/$O24</f>
        <v>11658.3333333333</v>
      </c>
      <c r="R24" s="16" t="n">
        <f aca="false">$N24*MAX(0,(MIN($G24,DATE(2026,8,31))-MAX($E24,DATE(2026,8,1))+1))/$O24</f>
        <v>23316.6666666667</v>
      </c>
      <c r="S24" s="16" t="n">
        <f aca="false">$N24*MAX(0,(MIN($G24,DATE(2026,9,30))-MAX($E24,DATE(2026,9,1))+1))/$O24</f>
        <v>0</v>
      </c>
      <c r="T24" s="16" t="n">
        <f aca="false">$N24*MAX(0,(MIN($G24,DATE(2026,10,31))-MAX($E24,DATE(2026,10,1))+1))/$O24</f>
        <v>0</v>
      </c>
      <c r="U24" s="16" t="n">
        <f aca="false">$N24*MAX(0,(MIN($G24,DATE(2026,11,30))-MAX($E24,DATE(2026,11,1))+1))/$O24</f>
        <v>0</v>
      </c>
      <c r="V24" s="16" t="n">
        <f aca="false">$N24*MAX(0,(MIN($G24,DATE(2026,12,31))-MAX($E24,DATE(2026,12,1))+1))/$O24</f>
        <v>0</v>
      </c>
      <c r="W24" s="17" t="n">
        <f aca="false">$H24*MAX(0,(MIN($G24,DATE(2026,7,31))-MAX($E24,DATE(2026,7,1))+1))/30.4</f>
        <v>0.197368421052632</v>
      </c>
      <c r="X24" s="17" t="n">
        <f aca="false">$H24*MAX(0,(MIN($G24,DATE(2026,8,31))-MAX($E24,DATE(2026,8,1))+1))/30.4</f>
        <v>0.394736842105263</v>
      </c>
      <c r="Y24" s="17" t="n">
        <f aca="false">$H24*MAX(0,(MIN($G24,DATE(2026,9,30))-MAX($E24,DATE(2026,9,1))+1))/30.4</f>
        <v>0</v>
      </c>
      <c r="Z24" s="17" t="n">
        <f aca="false">$H24*MAX(0,(MIN($G24,DATE(2026,10,31))-MAX($E24,DATE(2026,10,1))+1))/30.4</f>
        <v>0</v>
      </c>
      <c r="AA24" s="17" t="n">
        <f aca="false">$H24*MAX(0,(MIN($G24,DATE(2026,11,30))-MAX($E24,DATE(2026,11,1))+1))/30.4</f>
        <v>0</v>
      </c>
      <c r="AB24" s="17" t="n">
        <f aca="false">$H24*MAX(0,(MIN($G24,DATE(2026,12,31))-MAX($E24,DATE(2026,12,1))+1))/30.4</f>
        <v>0</v>
      </c>
    </row>
    <row r="25" customFormat="false" ht="15" hidden="false" customHeight="false" outlineLevel="0" collapsed="false">
      <c r="A25" s="10" t="n">
        <v>4</v>
      </c>
      <c r="B25" s="10" t="n">
        <v>5</v>
      </c>
      <c r="C25" s="10" t="s">
        <v>116</v>
      </c>
      <c r="D25" s="10" t="s">
        <v>67</v>
      </c>
      <c r="E25" s="12" t="n">
        <v>46223</v>
      </c>
      <c r="F25" s="10" t="n">
        <v>5</v>
      </c>
      <c r="G25" s="12" t="n">
        <v>46258</v>
      </c>
      <c r="H25" s="13" t="n">
        <v>1</v>
      </c>
      <c r="I25" s="10" t="s">
        <v>117</v>
      </c>
      <c r="J25" s="14" t="str">
        <f aca="false">IFERROR(VLOOKUP(D25,Role_Mapping!$A$5:$D$31,2,FALSE()),"UNMAPPED")</f>
        <v>Senior Associate Consultant</v>
      </c>
      <c r="K25" s="14" t="str">
        <f aca="false">IFERROR(VLOOKUP(D25,Role_Mapping!$A$5:$D$31,3,FALSE()),"IN")</f>
        <v>IN</v>
      </c>
      <c r="L25" s="15" t="n">
        <f aca="false">IFERROR(SUMPRODUCT((Rate_Card!$A$5:$A$34=J25)*(Rate_Card!$B$5:$B$34=K25)*Rate_Card!$C$5:$C$34),0)</f>
        <v>683</v>
      </c>
      <c r="M25" s="10" t="n">
        <f aca="false">F25*5</f>
        <v>25</v>
      </c>
      <c r="N25" s="16" t="n">
        <f aca="false">L25*M25*H25</f>
        <v>17075</v>
      </c>
      <c r="O25" s="10" t="n">
        <f aca="false">(G25-E25)+1</f>
        <v>36</v>
      </c>
      <c r="P25" s="14" t="str">
        <f aca="false">IFERROR(VLOOKUP(D25,Role_Mapping!$A$5:$D$31,4,FALSE()),"UNMAPPED")</f>
        <v>Consulting</v>
      </c>
      <c r="Q25" s="16" t="n">
        <f aca="false">$N25*MAX(0,(MIN($G25,DATE(2026,7,31))-MAX($E25,DATE(2026,7,1))+1))/$O25</f>
        <v>5691.66666666667</v>
      </c>
      <c r="R25" s="16" t="n">
        <f aca="false">$N25*MAX(0,(MIN($G25,DATE(2026,8,31))-MAX($E25,DATE(2026,8,1))+1))/$O25</f>
        <v>11383.3333333333</v>
      </c>
      <c r="S25" s="16" t="n">
        <f aca="false">$N25*MAX(0,(MIN($G25,DATE(2026,9,30))-MAX($E25,DATE(2026,9,1))+1))/$O25</f>
        <v>0</v>
      </c>
      <c r="T25" s="16" t="n">
        <f aca="false">$N25*MAX(0,(MIN($G25,DATE(2026,10,31))-MAX($E25,DATE(2026,10,1))+1))/$O25</f>
        <v>0</v>
      </c>
      <c r="U25" s="16" t="n">
        <f aca="false">$N25*MAX(0,(MIN($G25,DATE(2026,11,30))-MAX($E25,DATE(2026,11,1))+1))/$O25</f>
        <v>0</v>
      </c>
      <c r="V25" s="16" t="n">
        <f aca="false">$N25*MAX(0,(MIN($G25,DATE(2026,12,31))-MAX($E25,DATE(2026,12,1))+1))/$O25</f>
        <v>0</v>
      </c>
      <c r="W25" s="17" t="n">
        <f aca="false">$H25*MAX(0,(MIN($G25,DATE(2026,7,31))-MAX($E25,DATE(2026,7,1))+1))/30.4</f>
        <v>0.394736842105263</v>
      </c>
      <c r="X25" s="17" t="n">
        <f aca="false">$H25*MAX(0,(MIN($G25,DATE(2026,8,31))-MAX($E25,DATE(2026,8,1))+1))/30.4</f>
        <v>0.789473684210526</v>
      </c>
      <c r="Y25" s="17" t="n">
        <f aca="false">$H25*MAX(0,(MIN($G25,DATE(2026,9,30))-MAX($E25,DATE(2026,9,1))+1))/30.4</f>
        <v>0</v>
      </c>
      <c r="Z25" s="17" t="n">
        <f aca="false">$H25*MAX(0,(MIN($G25,DATE(2026,10,31))-MAX($E25,DATE(2026,10,1))+1))/30.4</f>
        <v>0</v>
      </c>
      <c r="AA25" s="17" t="n">
        <f aca="false">$H25*MAX(0,(MIN($G25,DATE(2026,11,30))-MAX($E25,DATE(2026,11,1))+1))/30.4</f>
        <v>0</v>
      </c>
      <c r="AB25" s="17" t="n">
        <f aca="false">$H25*MAX(0,(MIN($G25,DATE(2026,12,31))-MAX($E25,DATE(2026,12,1))+1))/30.4</f>
        <v>0</v>
      </c>
    </row>
    <row r="26" customFormat="false" ht="15" hidden="false" customHeight="false" outlineLevel="0" collapsed="false">
      <c r="A26" s="10" t="n">
        <v>4</v>
      </c>
      <c r="B26" s="10" t="n">
        <v>5</v>
      </c>
      <c r="C26" s="10" t="s">
        <v>116</v>
      </c>
      <c r="D26" s="10" t="s">
        <v>64</v>
      </c>
      <c r="E26" s="12" t="n">
        <v>46223</v>
      </c>
      <c r="F26" s="10" t="n">
        <v>5</v>
      </c>
      <c r="G26" s="12" t="n">
        <v>46258</v>
      </c>
      <c r="H26" s="13" t="n">
        <v>0.25</v>
      </c>
      <c r="I26" s="10" t="s">
        <v>113</v>
      </c>
      <c r="J26" s="14" t="str">
        <f aca="false">IFERROR(VLOOKUP(D26,Role_Mapping!$A$5:$D$31,2,FALSE()),"UNMAPPED")</f>
        <v>Principal Technology Architect</v>
      </c>
      <c r="K26" s="14" t="str">
        <f aca="false">IFERROR(VLOOKUP(D26,Role_Mapping!$A$5:$D$31,3,FALSE()),"IN")</f>
        <v>IN</v>
      </c>
      <c r="L26" s="15" t="n">
        <f aca="false">IFERROR(SUMPRODUCT((Rate_Card!$A$5:$A$34=J26)*(Rate_Card!$B$5:$B$34=K26)*Rate_Card!$C$5:$C$34),0)</f>
        <v>845</v>
      </c>
      <c r="M26" s="10" t="n">
        <f aca="false">F26*5</f>
        <v>25</v>
      </c>
      <c r="N26" s="16" t="n">
        <f aca="false">L26*M26*H26</f>
        <v>5281.25</v>
      </c>
      <c r="O26" s="10" t="n">
        <f aca="false">(G26-E26)+1</f>
        <v>36</v>
      </c>
      <c r="P26" s="14" t="str">
        <f aca="false">IFERROR(VLOOKUP(D26,Role_Mapping!$A$5:$D$31,4,FALSE()),"UNMAPPED")</f>
        <v>Full Stack</v>
      </c>
      <c r="Q26" s="16" t="n">
        <f aca="false">$N26*MAX(0,(MIN($G26,DATE(2026,7,31))-MAX($E26,DATE(2026,7,1))+1))/$O26</f>
        <v>1760.41666666667</v>
      </c>
      <c r="R26" s="16" t="n">
        <f aca="false">$N26*MAX(0,(MIN($G26,DATE(2026,8,31))-MAX($E26,DATE(2026,8,1))+1))/$O26</f>
        <v>3520.83333333333</v>
      </c>
      <c r="S26" s="16" t="n">
        <f aca="false">$N26*MAX(0,(MIN($G26,DATE(2026,9,30))-MAX($E26,DATE(2026,9,1))+1))/$O26</f>
        <v>0</v>
      </c>
      <c r="T26" s="16" t="n">
        <f aca="false">$N26*MAX(0,(MIN($G26,DATE(2026,10,31))-MAX($E26,DATE(2026,10,1))+1))/$O26</f>
        <v>0</v>
      </c>
      <c r="U26" s="16" t="n">
        <f aca="false">$N26*MAX(0,(MIN($G26,DATE(2026,11,30))-MAX($E26,DATE(2026,11,1))+1))/$O26</f>
        <v>0</v>
      </c>
      <c r="V26" s="16" t="n">
        <f aca="false">$N26*MAX(0,(MIN($G26,DATE(2026,12,31))-MAX($E26,DATE(2026,12,1))+1))/$O26</f>
        <v>0</v>
      </c>
      <c r="W26" s="17" t="n">
        <f aca="false">$H26*MAX(0,(MIN($G26,DATE(2026,7,31))-MAX($E26,DATE(2026,7,1))+1))/30.4</f>
        <v>0.0986842105263158</v>
      </c>
      <c r="X26" s="17" t="n">
        <f aca="false">$H26*MAX(0,(MIN($G26,DATE(2026,8,31))-MAX($E26,DATE(2026,8,1))+1))/30.4</f>
        <v>0.197368421052632</v>
      </c>
      <c r="Y26" s="17" t="n">
        <f aca="false">$H26*MAX(0,(MIN($G26,DATE(2026,9,30))-MAX($E26,DATE(2026,9,1))+1))/30.4</f>
        <v>0</v>
      </c>
      <c r="Z26" s="17" t="n">
        <f aca="false">$H26*MAX(0,(MIN($G26,DATE(2026,10,31))-MAX($E26,DATE(2026,10,1))+1))/30.4</f>
        <v>0</v>
      </c>
      <c r="AA26" s="17" t="n">
        <f aca="false">$H26*MAX(0,(MIN($G26,DATE(2026,11,30))-MAX($E26,DATE(2026,11,1))+1))/30.4</f>
        <v>0</v>
      </c>
      <c r="AB26" s="17" t="n">
        <f aca="false">$H26*MAX(0,(MIN($G26,DATE(2026,12,31))-MAX($E26,DATE(2026,12,1))+1))/30.4</f>
        <v>0</v>
      </c>
    </row>
    <row r="27" customFormat="false" ht="15" hidden="false" customHeight="false" outlineLevel="0" collapsed="false">
      <c r="A27" s="10" t="n">
        <v>4</v>
      </c>
      <c r="B27" s="10" t="n">
        <v>5</v>
      </c>
      <c r="C27" s="10" t="s">
        <v>116</v>
      </c>
      <c r="D27" s="10" t="s">
        <v>80</v>
      </c>
      <c r="E27" s="12" t="n">
        <v>46223</v>
      </c>
      <c r="F27" s="10" t="n">
        <v>5</v>
      </c>
      <c r="G27" s="12" t="n">
        <v>46258</v>
      </c>
      <c r="H27" s="13" t="n">
        <v>1</v>
      </c>
      <c r="I27" s="10" t="s">
        <v>113</v>
      </c>
      <c r="J27" s="14" t="str">
        <f aca="false">IFERROR(VLOOKUP(D27,Role_Mapping!$A$5:$D$31,2,FALSE()),"UNMAPPED")</f>
        <v>Solutions Consultant</v>
      </c>
      <c r="K27" s="14" t="str">
        <f aca="false">IFERROR(VLOOKUP(D27,Role_Mapping!$A$5:$D$31,3,FALSE()),"IN")</f>
        <v>IN</v>
      </c>
      <c r="L27" s="15" t="n">
        <f aca="false">IFERROR(SUMPRODUCT((Rate_Card!$A$5:$A$34=J27)*(Rate_Card!$B$5:$B$34=K27)*Rate_Card!$C$5:$C$34),0)</f>
        <v>683</v>
      </c>
      <c r="M27" s="10" t="n">
        <f aca="false">F27*5</f>
        <v>25</v>
      </c>
      <c r="N27" s="16" t="n">
        <f aca="false">L27*M27*H27</f>
        <v>17075</v>
      </c>
      <c r="O27" s="10" t="n">
        <f aca="false">(G27-E27)+1</f>
        <v>36</v>
      </c>
      <c r="P27" s="14" t="str">
        <f aca="false">IFERROR(VLOOKUP(D27,Role_Mapping!$A$5:$D$31,4,FALSE()),"UNMAPPED")</f>
        <v>Power BI &amp; Consulting</v>
      </c>
      <c r="Q27" s="16" t="n">
        <f aca="false">$N27*MAX(0,(MIN($G27,DATE(2026,7,31))-MAX($E27,DATE(2026,7,1))+1))/$O27</f>
        <v>5691.66666666667</v>
      </c>
      <c r="R27" s="16" t="n">
        <f aca="false">$N27*MAX(0,(MIN($G27,DATE(2026,8,31))-MAX($E27,DATE(2026,8,1))+1))/$O27</f>
        <v>11383.3333333333</v>
      </c>
      <c r="S27" s="16" t="n">
        <f aca="false">$N27*MAX(0,(MIN($G27,DATE(2026,9,30))-MAX($E27,DATE(2026,9,1))+1))/$O27</f>
        <v>0</v>
      </c>
      <c r="T27" s="16" t="n">
        <f aca="false">$N27*MAX(0,(MIN($G27,DATE(2026,10,31))-MAX($E27,DATE(2026,10,1))+1))/$O27</f>
        <v>0</v>
      </c>
      <c r="U27" s="16" t="n">
        <f aca="false">$N27*MAX(0,(MIN($G27,DATE(2026,11,30))-MAX($E27,DATE(2026,11,1))+1))/$O27</f>
        <v>0</v>
      </c>
      <c r="V27" s="16" t="n">
        <f aca="false">$N27*MAX(0,(MIN($G27,DATE(2026,12,31))-MAX($E27,DATE(2026,12,1))+1))/$O27</f>
        <v>0</v>
      </c>
      <c r="W27" s="17" t="n">
        <f aca="false">$H27*MAX(0,(MIN($G27,DATE(2026,7,31))-MAX($E27,DATE(2026,7,1))+1))/30.4</f>
        <v>0.394736842105263</v>
      </c>
      <c r="X27" s="17" t="n">
        <f aca="false">$H27*MAX(0,(MIN($G27,DATE(2026,8,31))-MAX($E27,DATE(2026,8,1))+1))/30.4</f>
        <v>0.789473684210526</v>
      </c>
      <c r="Y27" s="17" t="n">
        <f aca="false">$H27*MAX(0,(MIN($G27,DATE(2026,9,30))-MAX($E27,DATE(2026,9,1))+1))/30.4</f>
        <v>0</v>
      </c>
      <c r="Z27" s="17" t="n">
        <f aca="false">$H27*MAX(0,(MIN($G27,DATE(2026,10,31))-MAX($E27,DATE(2026,10,1))+1))/30.4</f>
        <v>0</v>
      </c>
      <c r="AA27" s="17" t="n">
        <f aca="false">$H27*MAX(0,(MIN($G27,DATE(2026,11,30))-MAX($E27,DATE(2026,11,1))+1))/30.4</f>
        <v>0</v>
      </c>
      <c r="AB27" s="17" t="n">
        <f aca="false">$H27*MAX(0,(MIN($G27,DATE(2026,12,31))-MAX($E27,DATE(2026,12,1))+1))/30.4</f>
        <v>0</v>
      </c>
    </row>
    <row r="28" customFormat="false" ht="15" hidden="false" customHeight="false" outlineLevel="0" collapsed="false">
      <c r="A28" s="10" t="n">
        <v>5</v>
      </c>
      <c r="B28" s="10" t="n">
        <v>3</v>
      </c>
      <c r="C28" s="10" t="s">
        <v>118</v>
      </c>
      <c r="D28" s="10" t="s">
        <v>62</v>
      </c>
      <c r="E28" s="12" t="n">
        <v>46265</v>
      </c>
      <c r="F28" s="10" t="n">
        <v>3</v>
      </c>
      <c r="G28" s="12" t="n">
        <v>46286</v>
      </c>
      <c r="H28" s="13" t="n">
        <v>0.125</v>
      </c>
      <c r="I28" s="10" t="s">
        <v>113</v>
      </c>
      <c r="J28" s="14" t="str">
        <f aca="false">IFERROR(VLOOKUP(D28,Role_Mapping!$A$5:$D$31,2,FALSE()),"UNMAPPED")</f>
        <v>Associate Partner</v>
      </c>
      <c r="K28" s="14" t="str">
        <f aca="false">IFERROR(VLOOKUP(D28,Role_Mapping!$A$5:$D$31,3,FALSE()),"IN")</f>
        <v>UK</v>
      </c>
      <c r="L28" s="15" t="n">
        <f aca="false">IFERROR(SUMPRODUCT((Rate_Card!$A$5:$A$34=J28)*(Rate_Card!$B$5:$B$34=K28)*Rate_Card!$C$5:$C$34),0)</f>
        <v>3526</v>
      </c>
      <c r="M28" s="10" t="n">
        <f aca="false">F28*5</f>
        <v>15</v>
      </c>
      <c r="N28" s="16" t="n">
        <f aca="false">L28*M28*H28</f>
        <v>6611.25</v>
      </c>
      <c r="O28" s="10" t="n">
        <f aca="false">(G28-E28)+1</f>
        <v>22</v>
      </c>
      <c r="P28" s="14" t="str">
        <f aca="false">IFERROR(VLOOKUP(D28,Role_Mapping!$A$5:$D$31,4,FALSE()),"UNMAPPED")</f>
        <v>GTM</v>
      </c>
      <c r="Q28" s="16" t="n">
        <f aca="false">$N28*MAX(0,(MIN($G28,DATE(2026,7,31))-MAX($E28,DATE(2026,7,1))+1))/$O28</f>
        <v>0</v>
      </c>
      <c r="R28" s="16" t="n">
        <f aca="false">$N28*MAX(0,(MIN($G28,DATE(2026,8,31))-MAX($E28,DATE(2026,8,1))+1))/$O28</f>
        <v>300.511363636364</v>
      </c>
      <c r="S28" s="16" t="n">
        <f aca="false">$N28*MAX(0,(MIN($G28,DATE(2026,9,30))-MAX($E28,DATE(2026,9,1))+1))/$O28</f>
        <v>6310.73863636364</v>
      </c>
      <c r="T28" s="16" t="n">
        <f aca="false">$N28*MAX(0,(MIN($G28,DATE(2026,10,31))-MAX($E28,DATE(2026,10,1))+1))/$O28</f>
        <v>0</v>
      </c>
      <c r="U28" s="16" t="n">
        <f aca="false">$N28*MAX(0,(MIN($G28,DATE(2026,11,30))-MAX($E28,DATE(2026,11,1))+1))/$O28</f>
        <v>0</v>
      </c>
      <c r="V28" s="16" t="n">
        <f aca="false">$N28*MAX(0,(MIN($G28,DATE(2026,12,31))-MAX($E28,DATE(2026,12,1))+1))/$O28</f>
        <v>0</v>
      </c>
      <c r="W28" s="17" t="n">
        <f aca="false">$H28*MAX(0,(MIN($G28,DATE(2026,7,31))-MAX($E28,DATE(2026,7,1))+1))/30.4</f>
        <v>0</v>
      </c>
      <c r="X28" s="17" t="n">
        <f aca="false">$H28*MAX(0,(MIN($G28,DATE(2026,8,31))-MAX($E28,DATE(2026,8,1))+1))/30.4</f>
        <v>0.00411184210526316</v>
      </c>
      <c r="Y28" s="17" t="n">
        <f aca="false">$H28*MAX(0,(MIN($G28,DATE(2026,9,30))-MAX($E28,DATE(2026,9,1))+1))/30.4</f>
        <v>0.0863486842105263</v>
      </c>
      <c r="Z28" s="17" t="n">
        <f aca="false">$H28*MAX(0,(MIN($G28,DATE(2026,10,31))-MAX($E28,DATE(2026,10,1))+1))/30.4</f>
        <v>0</v>
      </c>
      <c r="AA28" s="17" t="n">
        <f aca="false">$H28*MAX(0,(MIN($G28,DATE(2026,11,30))-MAX($E28,DATE(2026,11,1))+1))/30.4</f>
        <v>0</v>
      </c>
      <c r="AB28" s="17" t="n">
        <f aca="false">$H28*MAX(0,(MIN($G28,DATE(2026,12,31))-MAX($E28,DATE(2026,12,1))+1))/30.4</f>
        <v>0</v>
      </c>
    </row>
    <row r="29" customFormat="false" ht="15" hidden="false" customHeight="false" outlineLevel="0" collapsed="false">
      <c r="A29" s="10" t="n">
        <v>5</v>
      </c>
      <c r="B29" s="10" t="n">
        <v>3</v>
      </c>
      <c r="C29" s="10" t="s">
        <v>118</v>
      </c>
      <c r="D29" s="10" t="s">
        <v>64</v>
      </c>
      <c r="E29" s="12" t="n">
        <v>46265</v>
      </c>
      <c r="F29" s="10" t="n">
        <v>3</v>
      </c>
      <c r="G29" s="12" t="n">
        <v>46286</v>
      </c>
      <c r="H29" s="13" t="n">
        <v>0.25</v>
      </c>
      <c r="I29" s="10" t="s">
        <v>113</v>
      </c>
      <c r="J29" s="14" t="str">
        <f aca="false">IFERROR(VLOOKUP(D29,Role_Mapping!$A$5:$D$31,2,FALSE()),"UNMAPPED")</f>
        <v>Principal Technology Architect</v>
      </c>
      <c r="K29" s="14" t="str">
        <f aca="false">IFERROR(VLOOKUP(D29,Role_Mapping!$A$5:$D$31,3,FALSE()),"IN")</f>
        <v>IN</v>
      </c>
      <c r="L29" s="15" t="n">
        <f aca="false">IFERROR(SUMPRODUCT((Rate_Card!$A$5:$A$34=J29)*(Rate_Card!$B$5:$B$34=K29)*Rate_Card!$C$5:$C$34),0)</f>
        <v>845</v>
      </c>
      <c r="M29" s="10" t="n">
        <f aca="false">F29*5</f>
        <v>15</v>
      </c>
      <c r="N29" s="16" t="n">
        <f aca="false">L29*M29*H29</f>
        <v>3168.75</v>
      </c>
      <c r="O29" s="10" t="n">
        <f aca="false">(G29-E29)+1</f>
        <v>22</v>
      </c>
      <c r="P29" s="14" t="str">
        <f aca="false">IFERROR(VLOOKUP(D29,Role_Mapping!$A$5:$D$31,4,FALSE()),"UNMAPPED")</f>
        <v>Full Stack</v>
      </c>
      <c r="Q29" s="16" t="n">
        <f aca="false">$N29*MAX(0,(MIN($G29,DATE(2026,7,31))-MAX($E29,DATE(2026,7,1))+1))/$O29</f>
        <v>0</v>
      </c>
      <c r="R29" s="16" t="n">
        <f aca="false">$N29*MAX(0,(MIN($G29,DATE(2026,8,31))-MAX($E29,DATE(2026,8,1))+1))/$O29</f>
        <v>144.034090909091</v>
      </c>
      <c r="S29" s="16" t="n">
        <f aca="false">$N29*MAX(0,(MIN($G29,DATE(2026,9,30))-MAX($E29,DATE(2026,9,1))+1))/$O29</f>
        <v>3024.71590909091</v>
      </c>
      <c r="T29" s="16" t="n">
        <f aca="false">$N29*MAX(0,(MIN($G29,DATE(2026,10,31))-MAX($E29,DATE(2026,10,1))+1))/$O29</f>
        <v>0</v>
      </c>
      <c r="U29" s="16" t="n">
        <f aca="false">$N29*MAX(0,(MIN($G29,DATE(2026,11,30))-MAX($E29,DATE(2026,11,1))+1))/$O29</f>
        <v>0</v>
      </c>
      <c r="V29" s="16" t="n">
        <f aca="false">$N29*MAX(0,(MIN($G29,DATE(2026,12,31))-MAX($E29,DATE(2026,12,1))+1))/$O29</f>
        <v>0</v>
      </c>
      <c r="W29" s="17" t="n">
        <f aca="false">$H29*MAX(0,(MIN($G29,DATE(2026,7,31))-MAX($E29,DATE(2026,7,1))+1))/30.4</f>
        <v>0</v>
      </c>
      <c r="X29" s="17" t="n">
        <f aca="false">$H29*MAX(0,(MIN($G29,DATE(2026,8,31))-MAX($E29,DATE(2026,8,1))+1))/30.4</f>
        <v>0.00822368421052632</v>
      </c>
      <c r="Y29" s="17" t="n">
        <f aca="false">$H29*MAX(0,(MIN($G29,DATE(2026,9,30))-MAX($E29,DATE(2026,9,1))+1))/30.4</f>
        <v>0.172697368421053</v>
      </c>
      <c r="Z29" s="17" t="n">
        <f aca="false">$H29*MAX(0,(MIN($G29,DATE(2026,10,31))-MAX($E29,DATE(2026,10,1))+1))/30.4</f>
        <v>0</v>
      </c>
      <c r="AA29" s="17" t="n">
        <f aca="false">$H29*MAX(0,(MIN($G29,DATE(2026,11,30))-MAX($E29,DATE(2026,11,1))+1))/30.4</f>
        <v>0</v>
      </c>
      <c r="AB29" s="17" t="n">
        <f aca="false">$H29*MAX(0,(MIN($G29,DATE(2026,12,31))-MAX($E29,DATE(2026,12,1))+1))/30.4</f>
        <v>0</v>
      </c>
    </row>
    <row r="30" customFormat="false" ht="15" hidden="false" customHeight="false" outlineLevel="0" collapsed="false">
      <c r="A30" s="10" t="n">
        <v>5</v>
      </c>
      <c r="B30" s="10" t="n">
        <v>3</v>
      </c>
      <c r="C30" s="10" t="s">
        <v>118</v>
      </c>
      <c r="D30" s="10" t="s">
        <v>56</v>
      </c>
      <c r="E30" s="12" t="n">
        <v>46265</v>
      </c>
      <c r="F30" s="10" t="n">
        <v>3</v>
      </c>
      <c r="G30" s="12" t="n">
        <v>46286</v>
      </c>
      <c r="H30" s="13" t="n">
        <v>0.5</v>
      </c>
      <c r="I30" s="10" t="s">
        <v>113</v>
      </c>
      <c r="J30" s="14" t="str">
        <f aca="false">IFERROR(VLOOKUP(D30,Role_Mapping!$A$5:$D$31,2,FALSE()),"UNMAPPED")</f>
        <v>Manager</v>
      </c>
      <c r="K30" s="14" t="str">
        <f aca="false">IFERROR(VLOOKUP(D30,Role_Mapping!$A$5:$D$31,3,FALSE()),"IN")</f>
        <v>UK</v>
      </c>
      <c r="L30" s="15" t="n">
        <f aca="false">IFERROR(SUMPRODUCT((Rate_Card!$A$5:$A$34=J30)*(Rate_Card!$B$5:$B$34=K30)*Rate_Card!$C$5:$C$34),0)</f>
        <v>2984</v>
      </c>
      <c r="M30" s="10" t="n">
        <f aca="false">F30*5</f>
        <v>15</v>
      </c>
      <c r="N30" s="16" t="n">
        <f aca="false">L30*M30*H30</f>
        <v>22380</v>
      </c>
      <c r="O30" s="10" t="n">
        <f aca="false">(G30-E30)+1</f>
        <v>22</v>
      </c>
      <c r="P30" s="14" t="str">
        <f aca="false">IFERROR(VLOOKUP(D30,Role_Mapping!$A$5:$D$31,4,FALSE()),"UNMAPPED")</f>
        <v>Consulting</v>
      </c>
      <c r="Q30" s="16" t="n">
        <f aca="false">$N30*MAX(0,(MIN($G30,DATE(2026,7,31))-MAX($E30,DATE(2026,7,1))+1))/$O30</f>
        <v>0</v>
      </c>
      <c r="R30" s="16" t="n">
        <f aca="false">$N30*MAX(0,(MIN($G30,DATE(2026,8,31))-MAX($E30,DATE(2026,8,1))+1))/$O30</f>
        <v>1017.27272727273</v>
      </c>
      <c r="S30" s="16" t="n">
        <f aca="false">$N30*MAX(0,(MIN($G30,DATE(2026,9,30))-MAX($E30,DATE(2026,9,1))+1))/$O30</f>
        <v>21362.7272727273</v>
      </c>
      <c r="T30" s="16" t="n">
        <f aca="false">$N30*MAX(0,(MIN($G30,DATE(2026,10,31))-MAX($E30,DATE(2026,10,1))+1))/$O30</f>
        <v>0</v>
      </c>
      <c r="U30" s="16" t="n">
        <f aca="false">$N30*MAX(0,(MIN($G30,DATE(2026,11,30))-MAX($E30,DATE(2026,11,1))+1))/$O30</f>
        <v>0</v>
      </c>
      <c r="V30" s="16" t="n">
        <f aca="false">$N30*MAX(0,(MIN($G30,DATE(2026,12,31))-MAX($E30,DATE(2026,12,1))+1))/$O30</f>
        <v>0</v>
      </c>
      <c r="W30" s="17" t="n">
        <f aca="false">$H30*MAX(0,(MIN($G30,DATE(2026,7,31))-MAX($E30,DATE(2026,7,1))+1))/30.4</f>
        <v>0</v>
      </c>
      <c r="X30" s="17" t="n">
        <f aca="false">$H30*MAX(0,(MIN($G30,DATE(2026,8,31))-MAX($E30,DATE(2026,8,1))+1))/30.4</f>
        <v>0.0164473684210526</v>
      </c>
      <c r="Y30" s="17" t="n">
        <f aca="false">$H30*MAX(0,(MIN($G30,DATE(2026,9,30))-MAX($E30,DATE(2026,9,1))+1))/30.4</f>
        <v>0.345394736842105</v>
      </c>
      <c r="Z30" s="17" t="n">
        <f aca="false">$H30*MAX(0,(MIN($G30,DATE(2026,10,31))-MAX($E30,DATE(2026,10,1))+1))/30.4</f>
        <v>0</v>
      </c>
      <c r="AA30" s="17" t="n">
        <f aca="false">$H30*MAX(0,(MIN($G30,DATE(2026,11,30))-MAX($E30,DATE(2026,11,1))+1))/30.4</f>
        <v>0</v>
      </c>
      <c r="AB30" s="17" t="n">
        <f aca="false">$H30*MAX(0,(MIN($G30,DATE(2026,12,31))-MAX($E30,DATE(2026,12,1))+1))/30.4</f>
        <v>0</v>
      </c>
    </row>
    <row r="31" customFormat="false" ht="15" hidden="false" customHeight="false" outlineLevel="0" collapsed="false">
      <c r="A31" s="10" t="n">
        <v>5</v>
      </c>
      <c r="B31" s="10" t="n">
        <v>3</v>
      </c>
      <c r="C31" s="10" t="s">
        <v>118</v>
      </c>
      <c r="D31" s="10" t="s">
        <v>67</v>
      </c>
      <c r="E31" s="12" t="n">
        <v>46265</v>
      </c>
      <c r="F31" s="10" t="n">
        <v>3</v>
      </c>
      <c r="G31" s="12" t="n">
        <v>46286</v>
      </c>
      <c r="H31" s="13" t="n">
        <v>1</v>
      </c>
      <c r="I31" s="10" t="s">
        <v>113</v>
      </c>
      <c r="J31" s="14" t="str">
        <f aca="false">IFERROR(VLOOKUP(D31,Role_Mapping!$A$5:$D$31,2,FALSE()),"UNMAPPED")</f>
        <v>Senior Associate Consultant</v>
      </c>
      <c r="K31" s="14" t="str">
        <f aca="false">IFERROR(VLOOKUP(D31,Role_Mapping!$A$5:$D$31,3,FALSE()),"IN")</f>
        <v>IN</v>
      </c>
      <c r="L31" s="15" t="n">
        <f aca="false">IFERROR(SUMPRODUCT((Rate_Card!$A$5:$A$34=J31)*(Rate_Card!$B$5:$B$34=K31)*Rate_Card!$C$5:$C$34),0)</f>
        <v>683</v>
      </c>
      <c r="M31" s="10" t="n">
        <f aca="false">F31*5</f>
        <v>15</v>
      </c>
      <c r="N31" s="16" t="n">
        <f aca="false">L31*M31*H31</f>
        <v>10245</v>
      </c>
      <c r="O31" s="10" t="n">
        <f aca="false">(G31-E31)+1</f>
        <v>22</v>
      </c>
      <c r="P31" s="14" t="str">
        <f aca="false">IFERROR(VLOOKUP(D31,Role_Mapping!$A$5:$D$31,4,FALSE()),"UNMAPPED")</f>
        <v>Consulting</v>
      </c>
      <c r="Q31" s="16" t="n">
        <f aca="false">$N31*MAX(0,(MIN($G31,DATE(2026,7,31))-MAX($E31,DATE(2026,7,1))+1))/$O31</f>
        <v>0</v>
      </c>
      <c r="R31" s="16" t="n">
        <f aca="false">$N31*MAX(0,(MIN($G31,DATE(2026,8,31))-MAX($E31,DATE(2026,8,1))+1))/$O31</f>
        <v>465.681818181818</v>
      </c>
      <c r="S31" s="16" t="n">
        <f aca="false">$N31*MAX(0,(MIN($G31,DATE(2026,9,30))-MAX($E31,DATE(2026,9,1))+1))/$O31</f>
        <v>9779.31818181818</v>
      </c>
      <c r="T31" s="16" t="n">
        <f aca="false">$N31*MAX(0,(MIN($G31,DATE(2026,10,31))-MAX($E31,DATE(2026,10,1))+1))/$O31</f>
        <v>0</v>
      </c>
      <c r="U31" s="16" t="n">
        <f aca="false">$N31*MAX(0,(MIN($G31,DATE(2026,11,30))-MAX($E31,DATE(2026,11,1))+1))/$O31</f>
        <v>0</v>
      </c>
      <c r="V31" s="16" t="n">
        <f aca="false">$N31*MAX(0,(MIN($G31,DATE(2026,12,31))-MAX($E31,DATE(2026,12,1))+1))/$O31</f>
        <v>0</v>
      </c>
      <c r="W31" s="17" t="n">
        <f aca="false">$H31*MAX(0,(MIN($G31,DATE(2026,7,31))-MAX($E31,DATE(2026,7,1))+1))/30.4</f>
        <v>0</v>
      </c>
      <c r="X31" s="17" t="n">
        <f aca="false">$H31*MAX(0,(MIN($G31,DATE(2026,8,31))-MAX($E31,DATE(2026,8,1))+1))/30.4</f>
        <v>0.0328947368421053</v>
      </c>
      <c r="Y31" s="17" t="n">
        <f aca="false">$H31*MAX(0,(MIN($G31,DATE(2026,9,30))-MAX($E31,DATE(2026,9,1))+1))/30.4</f>
        <v>0.690789473684211</v>
      </c>
      <c r="Z31" s="17" t="n">
        <f aca="false">$H31*MAX(0,(MIN($G31,DATE(2026,10,31))-MAX($E31,DATE(2026,10,1))+1))/30.4</f>
        <v>0</v>
      </c>
      <c r="AA31" s="17" t="n">
        <f aca="false">$H31*MAX(0,(MIN($G31,DATE(2026,11,30))-MAX($E31,DATE(2026,11,1))+1))/30.4</f>
        <v>0</v>
      </c>
      <c r="AB31" s="17" t="n">
        <f aca="false">$H31*MAX(0,(MIN($G31,DATE(2026,12,31))-MAX($E31,DATE(2026,12,1))+1))/30.4</f>
        <v>0</v>
      </c>
    </row>
    <row r="32" customFormat="false" ht="15" hidden="false" customHeight="false" outlineLevel="0" collapsed="false">
      <c r="A32" s="10" t="n">
        <v>5</v>
      </c>
      <c r="B32" s="10" t="n">
        <v>3</v>
      </c>
      <c r="C32" s="10" t="s">
        <v>118</v>
      </c>
      <c r="D32" s="10" t="s">
        <v>45</v>
      </c>
      <c r="E32" s="12" t="n">
        <v>46265</v>
      </c>
      <c r="F32" s="10" t="n">
        <v>3</v>
      </c>
      <c r="G32" s="12" t="n">
        <v>46286</v>
      </c>
      <c r="H32" s="13" t="n">
        <v>1</v>
      </c>
      <c r="I32" s="10" t="s">
        <v>113</v>
      </c>
      <c r="J32" s="14" t="str">
        <f aca="false">IFERROR(VLOOKUP(D32,Role_Mapping!$A$5:$D$31,2,FALSE()),"UNMAPPED")</f>
        <v>Associate Consultant</v>
      </c>
      <c r="K32" s="14" t="str">
        <f aca="false">IFERROR(VLOOKUP(D32,Role_Mapping!$A$5:$D$31,3,FALSE()),"IN")</f>
        <v>IN</v>
      </c>
      <c r="L32" s="15" t="n">
        <f aca="false">IFERROR(SUMPRODUCT((Rate_Card!$A$5:$A$34=J32)*(Rate_Card!$B$5:$B$34=K32)*Rate_Card!$C$5:$C$34),0)</f>
        <v>585</v>
      </c>
      <c r="M32" s="10" t="n">
        <f aca="false">F32*5</f>
        <v>15</v>
      </c>
      <c r="N32" s="16" t="n">
        <f aca="false">L32*M32*H32</f>
        <v>8775</v>
      </c>
      <c r="O32" s="10" t="n">
        <f aca="false">(G32-E32)+1</f>
        <v>22</v>
      </c>
      <c r="P32" s="14" t="str">
        <f aca="false">IFERROR(VLOOKUP(D32,Role_Mapping!$A$5:$D$31,4,FALSE()),"UNMAPPED")</f>
        <v>Consulting</v>
      </c>
      <c r="Q32" s="16" t="n">
        <f aca="false">$N32*MAX(0,(MIN($G32,DATE(2026,7,31))-MAX($E32,DATE(2026,7,1))+1))/$O32</f>
        <v>0</v>
      </c>
      <c r="R32" s="16" t="n">
        <f aca="false">$N32*MAX(0,(MIN($G32,DATE(2026,8,31))-MAX($E32,DATE(2026,8,1))+1))/$O32</f>
        <v>398.863636363636</v>
      </c>
      <c r="S32" s="16" t="n">
        <f aca="false">$N32*MAX(0,(MIN($G32,DATE(2026,9,30))-MAX($E32,DATE(2026,9,1))+1))/$O32</f>
        <v>8376.13636363636</v>
      </c>
      <c r="T32" s="16" t="n">
        <f aca="false">$N32*MAX(0,(MIN($G32,DATE(2026,10,31))-MAX($E32,DATE(2026,10,1))+1))/$O32</f>
        <v>0</v>
      </c>
      <c r="U32" s="16" t="n">
        <f aca="false">$N32*MAX(0,(MIN($G32,DATE(2026,11,30))-MAX($E32,DATE(2026,11,1))+1))/$O32</f>
        <v>0</v>
      </c>
      <c r="V32" s="16" t="n">
        <f aca="false">$N32*MAX(0,(MIN($G32,DATE(2026,12,31))-MAX($E32,DATE(2026,12,1))+1))/$O32</f>
        <v>0</v>
      </c>
      <c r="W32" s="17" t="n">
        <f aca="false">$H32*MAX(0,(MIN($G32,DATE(2026,7,31))-MAX($E32,DATE(2026,7,1))+1))/30.4</f>
        <v>0</v>
      </c>
      <c r="X32" s="17" t="n">
        <f aca="false">$H32*MAX(0,(MIN($G32,DATE(2026,8,31))-MAX($E32,DATE(2026,8,1))+1))/30.4</f>
        <v>0.0328947368421053</v>
      </c>
      <c r="Y32" s="17" t="n">
        <f aca="false">$H32*MAX(0,(MIN($G32,DATE(2026,9,30))-MAX($E32,DATE(2026,9,1))+1))/30.4</f>
        <v>0.690789473684211</v>
      </c>
      <c r="Z32" s="17" t="n">
        <f aca="false">$H32*MAX(0,(MIN($G32,DATE(2026,10,31))-MAX($E32,DATE(2026,10,1))+1))/30.4</f>
        <v>0</v>
      </c>
      <c r="AA32" s="17" t="n">
        <f aca="false">$H32*MAX(0,(MIN($G32,DATE(2026,11,30))-MAX($E32,DATE(2026,11,1))+1))/30.4</f>
        <v>0</v>
      </c>
      <c r="AB32" s="17" t="n">
        <f aca="false">$H32*MAX(0,(MIN($G32,DATE(2026,12,31))-MAX($E32,DATE(2026,12,1))+1))/30.4</f>
        <v>0</v>
      </c>
    </row>
    <row r="33" customFormat="false" ht="15" hidden="false" customHeight="false" outlineLevel="0" collapsed="false">
      <c r="A33" s="10" t="n">
        <v>5</v>
      </c>
      <c r="B33" s="10" t="n">
        <v>3</v>
      </c>
      <c r="C33" s="10" t="s">
        <v>118</v>
      </c>
      <c r="D33" s="10" t="s">
        <v>80</v>
      </c>
      <c r="E33" s="12" t="n">
        <v>46265</v>
      </c>
      <c r="F33" s="10" t="n">
        <v>3</v>
      </c>
      <c r="G33" s="12" t="n">
        <v>46286</v>
      </c>
      <c r="H33" s="13" t="n">
        <v>1</v>
      </c>
      <c r="I33" s="10" t="s">
        <v>113</v>
      </c>
      <c r="J33" s="14" t="str">
        <f aca="false">IFERROR(VLOOKUP(D33,Role_Mapping!$A$5:$D$31,2,FALSE()),"UNMAPPED")</f>
        <v>Solutions Consultant</v>
      </c>
      <c r="K33" s="14" t="str">
        <f aca="false">IFERROR(VLOOKUP(D33,Role_Mapping!$A$5:$D$31,3,FALSE()),"IN")</f>
        <v>IN</v>
      </c>
      <c r="L33" s="15" t="n">
        <f aca="false">IFERROR(SUMPRODUCT((Rate_Card!$A$5:$A$34=J33)*(Rate_Card!$B$5:$B$34=K33)*Rate_Card!$C$5:$C$34),0)</f>
        <v>683</v>
      </c>
      <c r="M33" s="10" t="n">
        <f aca="false">F33*5</f>
        <v>15</v>
      </c>
      <c r="N33" s="16" t="n">
        <f aca="false">L33*M33*H33</f>
        <v>10245</v>
      </c>
      <c r="O33" s="10" t="n">
        <f aca="false">(G33-E33)+1</f>
        <v>22</v>
      </c>
      <c r="P33" s="14" t="str">
        <f aca="false">IFERROR(VLOOKUP(D33,Role_Mapping!$A$5:$D$31,4,FALSE()),"UNMAPPED")</f>
        <v>Power BI &amp; Consulting</v>
      </c>
      <c r="Q33" s="16" t="n">
        <f aca="false">$N33*MAX(0,(MIN($G33,DATE(2026,7,31))-MAX($E33,DATE(2026,7,1))+1))/$O33</f>
        <v>0</v>
      </c>
      <c r="R33" s="16" t="n">
        <f aca="false">$N33*MAX(0,(MIN($G33,DATE(2026,8,31))-MAX($E33,DATE(2026,8,1))+1))/$O33</f>
        <v>465.681818181818</v>
      </c>
      <c r="S33" s="16" t="n">
        <f aca="false">$N33*MAX(0,(MIN($G33,DATE(2026,9,30))-MAX($E33,DATE(2026,9,1))+1))/$O33</f>
        <v>9779.31818181818</v>
      </c>
      <c r="T33" s="16" t="n">
        <f aca="false">$N33*MAX(0,(MIN($G33,DATE(2026,10,31))-MAX($E33,DATE(2026,10,1))+1))/$O33</f>
        <v>0</v>
      </c>
      <c r="U33" s="16" t="n">
        <f aca="false">$N33*MAX(0,(MIN($G33,DATE(2026,11,30))-MAX($E33,DATE(2026,11,1))+1))/$O33</f>
        <v>0</v>
      </c>
      <c r="V33" s="16" t="n">
        <f aca="false">$N33*MAX(0,(MIN($G33,DATE(2026,12,31))-MAX($E33,DATE(2026,12,1))+1))/$O33</f>
        <v>0</v>
      </c>
      <c r="W33" s="17" t="n">
        <f aca="false">$H33*MAX(0,(MIN($G33,DATE(2026,7,31))-MAX($E33,DATE(2026,7,1))+1))/30.4</f>
        <v>0</v>
      </c>
      <c r="X33" s="17" t="n">
        <f aca="false">$H33*MAX(0,(MIN($G33,DATE(2026,8,31))-MAX($E33,DATE(2026,8,1))+1))/30.4</f>
        <v>0.0328947368421053</v>
      </c>
      <c r="Y33" s="17" t="n">
        <f aca="false">$H33*MAX(0,(MIN($G33,DATE(2026,9,30))-MAX($E33,DATE(2026,9,1))+1))/30.4</f>
        <v>0.690789473684211</v>
      </c>
      <c r="Z33" s="17" t="n">
        <f aca="false">$H33*MAX(0,(MIN($G33,DATE(2026,10,31))-MAX($E33,DATE(2026,10,1))+1))/30.4</f>
        <v>0</v>
      </c>
      <c r="AA33" s="17" t="n">
        <f aca="false">$H33*MAX(0,(MIN($G33,DATE(2026,11,30))-MAX($E33,DATE(2026,11,1))+1))/30.4</f>
        <v>0</v>
      </c>
      <c r="AB33" s="17" t="n">
        <f aca="false">$H33*MAX(0,(MIN($G33,DATE(2026,12,31))-MAX($E33,DATE(2026,12,1))+1))/30.4</f>
        <v>0</v>
      </c>
    </row>
    <row r="34" customFormat="false" ht="15" hidden="false" customHeight="false" outlineLevel="0" collapsed="false">
      <c r="A34" s="10" t="n">
        <v>5</v>
      </c>
      <c r="B34" s="10" t="n">
        <v>3</v>
      </c>
      <c r="C34" s="10" t="s">
        <v>118</v>
      </c>
      <c r="D34" s="10" t="s">
        <v>76</v>
      </c>
      <c r="E34" s="12" t="n">
        <v>46265</v>
      </c>
      <c r="F34" s="10" t="n">
        <v>3</v>
      </c>
      <c r="G34" s="12" t="n">
        <v>46286</v>
      </c>
      <c r="H34" s="13" t="n">
        <v>1</v>
      </c>
      <c r="I34" s="10" t="s">
        <v>113</v>
      </c>
      <c r="J34" s="14" t="str">
        <f aca="false">IFERROR(VLOOKUP(D34,Role_Mapping!$A$5:$D$31,2,FALSE()),"UNMAPPED")</f>
        <v>Senior Software Engineer</v>
      </c>
      <c r="K34" s="14" t="str">
        <f aca="false">IFERROR(VLOOKUP(D34,Role_Mapping!$A$5:$D$31,3,FALSE()),"IN")</f>
        <v>IN</v>
      </c>
      <c r="L34" s="15" t="n">
        <f aca="false">IFERROR(SUMPRODUCT((Rate_Card!$A$5:$A$34=J34)*(Rate_Card!$B$5:$B$34=K34)*Rate_Card!$C$5:$C$34),0)</f>
        <v>585</v>
      </c>
      <c r="M34" s="10" t="n">
        <f aca="false">F34*5</f>
        <v>15</v>
      </c>
      <c r="N34" s="16" t="n">
        <f aca="false">L34*M34*H34</f>
        <v>8775</v>
      </c>
      <c r="O34" s="10" t="n">
        <f aca="false">(G34-E34)+1</f>
        <v>22</v>
      </c>
      <c r="P34" s="14" t="str">
        <f aca="false">IFERROR(VLOOKUP(D34,Role_Mapping!$A$5:$D$31,4,FALSE()),"UNMAPPED")</f>
        <v>Full Stack</v>
      </c>
      <c r="Q34" s="16" t="n">
        <f aca="false">$N34*MAX(0,(MIN($G34,DATE(2026,7,31))-MAX($E34,DATE(2026,7,1))+1))/$O34</f>
        <v>0</v>
      </c>
      <c r="R34" s="16" t="n">
        <f aca="false">$N34*MAX(0,(MIN($G34,DATE(2026,8,31))-MAX($E34,DATE(2026,8,1))+1))/$O34</f>
        <v>398.863636363636</v>
      </c>
      <c r="S34" s="16" t="n">
        <f aca="false">$N34*MAX(0,(MIN($G34,DATE(2026,9,30))-MAX($E34,DATE(2026,9,1))+1))/$O34</f>
        <v>8376.13636363636</v>
      </c>
      <c r="T34" s="16" t="n">
        <f aca="false">$N34*MAX(0,(MIN($G34,DATE(2026,10,31))-MAX($E34,DATE(2026,10,1))+1))/$O34</f>
        <v>0</v>
      </c>
      <c r="U34" s="16" t="n">
        <f aca="false">$N34*MAX(0,(MIN($G34,DATE(2026,11,30))-MAX($E34,DATE(2026,11,1))+1))/$O34</f>
        <v>0</v>
      </c>
      <c r="V34" s="16" t="n">
        <f aca="false">$N34*MAX(0,(MIN($G34,DATE(2026,12,31))-MAX($E34,DATE(2026,12,1))+1))/$O34</f>
        <v>0</v>
      </c>
      <c r="W34" s="17" t="n">
        <f aca="false">$H34*MAX(0,(MIN($G34,DATE(2026,7,31))-MAX($E34,DATE(2026,7,1))+1))/30.4</f>
        <v>0</v>
      </c>
      <c r="X34" s="17" t="n">
        <f aca="false">$H34*MAX(0,(MIN($G34,DATE(2026,8,31))-MAX($E34,DATE(2026,8,1))+1))/30.4</f>
        <v>0.0328947368421053</v>
      </c>
      <c r="Y34" s="17" t="n">
        <f aca="false">$H34*MAX(0,(MIN($G34,DATE(2026,9,30))-MAX($E34,DATE(2026,9,1))+1))/30.4</f>
        <v>0.690789473684211</v>
      </c>
      <c r="Z34" s="17" t="n">
        <f aca="false">$H34*MAX(0,(MIN($G34,DATE(2026,10,31))-MAX($E34,DATE(2026,10,1))+1))/30.4</f>
        <v>0</v>
      </c>
      <c r="AA34" s="17" t="n">
        <f aca="false">$H34*MAX(0,(MIN($G34,DATE(2026,11,30))-MAX($E34,DATE(2026,11,1))+1))/30.4</f>
        <v>0</v>
      </c>
      <c r="AB34" s="17" t="n">
        <f aca="false">$H34*MAX(0,(MIN($G34,DATE(2026,12,31))-MAX($E34,DATE(2026,12,1))+1))/30.4</f>
        <v>0</v>
      </c>
    </row>
    <row r="35" customFormat="false" ht="15" hidden="false" customHeight="false" outlineLevel="0" collapsed="false">
      <c r="A35" s="10" t="n">
        <v>6</v>
      </c>
      <c r="B35" s="10" t="n">
        <v>3</v>
      </c>
      <c r="C35" s="10" t="s">
        <v>119</v>
      </c>
      <c r="D35" s="10" t="s">
        <v>67</v>
      </c>
      <c r="E35" s="12" t="n">
        <v>46204</v>
      </c>
      <c r="F35" s="10" t="n">
        <v>5</v>
      </c>
      <c r="G35" s="12" t="n">
        <v>46239</v>
      </c>
      <c r="H35" s="13" t="n">
        <v>1</v>
      </c>
      <c r="I35" s="10" t="s">
        <v>113</v>
      </c>
      <c r="J35" s="14" t="str">
        <f aca="false">IFERROR(VLOOKUP(D35,Role_Mapping!$A$5:$D$31,2,FALSE()),"UNMAPPED")</f>
        <v>Senior Associate Consultant</v>
      </c>
      <c r="K35" s="14" t="str">
        <f aca="false">IFERROR(VLOOKUP(D35,Role_Mapping!$A$5:$D$31,3,FALSE()),"IN")</f>
        <v>IN</v>
      </c>
      <c r="L35" s="15" t="n">
        <f aca="false">IFERROR(SUMPRODUCT((Rate_Card!$A$5:$A$34=J35)*(Rate_Card!$B$5:$B$34=K35)*Rate_Card!$C$5:$C$34),0)</f>
        <v>683</v>
      </c>
      <c r="M35" s="10" t="n">
        <f aca="false">F35*5</f>
        <v>25</v>
      </c>
      <c r="N35" s="16" t="n">
        <f aca="false">L35*M35*H35</f>
        <v>17075</v>
      </c>
      <c r="O35" s="10" t="n">
        <f aca="false">(G35-E35)+1</f>
        <v>36</v>
      </c>
      <c r="P35" s="14" t="str">
        <f aca="false">IFERROR(VLOOKUP(D35,Role_Mapping!$A$5:$D$31,4,FALSE()),"UNMAPPED")</f>
        <v>Consulting</v>
      </c>
      <c r="Q35" s="16" t="n">
        <f aca="false">$N35*MAX(0,(MIN($G35,DATE(2026,7,31))-MAX($E35,DATE(2026,7,1))+1))/$O35</f>
        <v>14703.4722222222</v>
      </c>
      <c r="R35" s="16" t="n">
        <f aca="false">$N35*MAX(0,(MIN($G35,DATE(2026,8,31))-MAX($E35,DATE(2026,8,1))+1))/$O35</f>
        <v>2371.52777777778</v>
      </c>
      <c r="S35" s="16" t="n">
        <f aca="false">$N35*MAX(0,(MIN($G35,DATE(2026,9,30))-MAX($E35,DATE(2026,9,1))+1))/$O35</f>
        <v>0</v>
      </c>
      <c r="T35" s="16" t="n">
        <f aca="false">$N35*MAX(0,(MIN($G35,DATE(2026,10,31))-MAX($E35,DATE(2026,10,1))+1))/$O35</f>
        <v>0</v>
      </c>
      <c r="U35" s="16" t="n">
        <f aca="false">$N35*MAX(0,(MIN($G35,DATE(2026,11,30))-MAX($E35,DATE(2026,11,1))+1))/$O35</f>
        <v>0</v>
      </c>
      <c r="V35" s="16" t="n">
        <f aca="false">$N35*MAX(0,(MIN($G35,DATE(2026,12,31))-MAX($E35,DATE(2026,12,1))+1))/$O35</f>
        <v>0</v>
      </c>
      <c r="W35" s="17" t="n">
        <f aca="false">$H35*MAX(0,(MIN($G35,DATE(2026,7,31))-MAX($E35,DATE(2026,7,1))+1))/30.4</f>
        <v>1.01973684210526</v>
      </c>
      <c r="X35" s="17" t="n">
        <f aca="false">$H35*MAX(0,(MIN($G35,DATE(2026,8,31))-MAX($E35,DATE(2026,8,1))+1))/30.4</f>
        <v>0.164473684210526</v>
      </c>
      <c r="Y35" s="17" t="n">
        <f aca="false">$H35*MAX(0,(MIN($G35,DATE(2026,9,30))-MAX($E35,DATE(2026,9,1))+1))/30.4</f>
        <v>0</v>
      </c>
      <c r="Z35" s="17" t="n">
        <f aca="false">$H35*MAX(0,(MIN($G35,DATE(2026,10,31))-MAX($E35,DATE(2026,10,1))+1))/30.4</f>
        <v>0</v>
      </c>
      <c r="AA35" s="17" t="n">
        <f aca="false">$H35*MAX(0,(MIN($G35,DATE(2026,11,30))-MAX($E35,DATE(2026,11,1))+1))/30.4</f>
        <v>0</v>
      </c>
      <c r="AB35" s="17" t="n">
        <f aca="false">$H35*MAX(0,(MIN($G35,DATE(2026,12,31))-MAX($E35,DATE(2026,12,1))+1))/30.4</f>
        <v>0</v>
      </c>
    </row>
    <row r="36" customFormat="false" ht="15" hidden="false" customHeight="false" outlineLevel="0" collapsed="false">
      <c r="A36" s="10" t="n">
        <v>7</v>
      </c>
      <c r="B36" s="10" t="n">
        <v>5</v>
      </c>
      <c r="C36" s="10" t="s">
        <v>120</v>
      </c>
      <c r="D36" s="10" t="s">
        <v>45</v>
      </c>
      <c r="E36" s="12" t="n">
        <v>46223</v>
      </c>
      <c r="F36" s="10" t="n">
        <v>7</v>
      </c>
      <c r="G36" s="12" t="n">
        <v>46272</v>
      </c>
      <c r="H36" s="13" t="n">
        <v>1</v>
      </c>
      <c r="I36" s="10" t="s">
        <v>113</v>
      </c>
      <c r="J36" s="14" t="str">
        <f aca="false">IFERROR(VLOOKUP(D36,Role_Mapping!$A$5:$D$31,2,FALSE()),"UNMAPPED")</f>
        <v>Associate Consultant</v>
      </c>
      <c r="K36" s="14" t="str">
        <f aca="false">IFERROR(VLOOKUP(D36,Role_Mapping!$A$5:$D$31,3,FALSE()),"IN")</f>
        <v>IN</v>
      </c>
      <c r="L36" s="15" t="n">
        <f aca="false">IFERROR(SUMPRODUCT((Rate_Card!$A$5:$A$34=J36)*(Rate_Card!$B$5:$B$34=K36)*Rate_Card!$C$5:$C$34),0)</f>
        <v>585</v>
      </c>
      <c r="M36" s="10" t="n">
        <f aca="false">F36*5</f>
        <v>35</v>
      </c>
      <c r="N36" s="16" t="n">
        <f aca="false">L36*M36*H36</f>
        <v>20475</v>
      </c>
      <c r="O36" s="10" t="n">
        <f aca="false">(G36-E36)+1</f>
        <v>50</v>
      </c>
      <c r="P36" s="14" t="str">
        <f aca="false">IFERROR(VLOOKUP(D36,Role_Mapping!$A$5:$D$31,4,FALSE()),"UNMAPPED")</f>
        <v>Consulting</v>
      </c>
      <c r="Q36" s="16" t="n">
        <f aca="false">$N36*MAX(0,(MIN($G36,DATE(2026,7,31))-MAX($E36,DATE(2026,7,1))+1))/$O36</f>
        <v>4914</v>
      </c>
      <c r="R36" s="16" t="n">
        <f aca="false">$N36*MAX(0,(MIN($G36,DATE(2026,8,31))-MAX($E36,DATE(2026,8,1))+1))/$O36</f>
        <v>12694.5</v>
      </c>
      <c r="S36" s="16" t="n">
        <f aca="false">$N36*MAX(0,(MIN($G36,DATE(2026,9,30))-MAX($E36,DATE(2026,9,1))+1))/$O36</f>
        <v>2866.5</v>
      </c>
      <c r="T36" s="16" t="n">
        <f aca="false">$N36*MAX(0,(MIN($G36,DATE(2026,10,31))-MAX($E36,DATE(2026,10,1))+1))/$O36</f>
        <v>0</v>
      </c>
      <c r="U36" s="16" t="n">
        <f aca="false">$N36*MAX(0,(MIN($G36,DATE(2026,11,30))-MAX($E36,DATE(2026,11,1))+1))/$O36</f>
        <v>0</v>
      </c>
      <c r="V36" s="16" t="n">
        <f aca="false">$N36*MAX(0,(MIN($G36,DATE(2026,12,31))-MAX($E36,DATE(2026,12,1))+1))/$O36</f>
        <v>0</v>
      </c>
      <c r="W36" s="17" t="n">
        <f aca="false">$H36*MAX(0,(MIN($G36,DATE(2026,7,31))-MAX($E36,DATE(2026,7,1))+1))/30.4</f>
        <v>0.394736842105263</v>
      </c>
      <c r="X36" s="17" t="n">
        <f aca="false">$H36*MAX(0,(MIN($G36,DATE(2026,8,31))-MAX($E36,DATE(2026,8,1))+1))/30.4</f>
        <v>1.01973684210526</v>
      </c>
      <c r="Y36" s="17" t="n">
        <f aca="false">$H36*MAX(0,(MIN($G36,DATE(2026,9,30))-MAX($E36,DATE(2026,9,1))+1))/30.4</f>
        <v>0.230263157894737</v>
      </c>
      <c r="Z36" s="17" t="n">
        <f aca="false">$H36*MAX(0,(MIN($G36,DATE(2026,10,31))-MAX($E36,DATE(2026,10,1))+1))/30.4</f>
        <v>0</v>
      </c>
      <c r="AA36" s="17" t="n">
        <f aca="false">$H36*MAX(0,(MIN($G36,DATE(2026,11,30))-MAX($E36,DATE(2026,11,1))+1))/30.4</f>
        <v>0</v>
      </c>
      <c r="AB36" s="17" t="n">
        <f aca="false">$H36*MAX(0,(MIN($G36,DATE(2026,12,31))-MAX($E36,DATE(2026,12,1))+1))/30.4</f>
        <v>0</v>
      </c>
    </row>
    <row r="37" customFormat="false" ht="15" hidden="false" customHeight="false" outlineLevel="0" collapsed="false">
      <c r="A37" s="10" t="n">
        <v>7</v>
      </c>
      <c r="B37" s="10" t="n">
        <v>5</v>
      </c>
      <c r="C37" s="10" t="s">
        <v>120</v>
      </c>
      <c r="D37" s="10" t="s">
        <v>58</v>
      </c>
      <c r="E37" s="12" t="n">
        <v>46223</v>
      </c>
      <c r="F37" s="10" t="n">
        <v>7</v>
      </c>
      <c r="G37" s="12" t="n">
        <v>46272</v>
      </c>
      <c r="H37" s="13" t="n">
        <v>1</v>
      </c>
      <c r="I37" s="10" t="s">
        <v>113</v>
      </c>
      <c r="J37" s="14" t="str">
        <f aca="false">IFERROR(VLOOKUP(D37,Role_Mapping!$A$5:$D$31,2,FALSE()),"UNMAPPED")</f>
        <v>Solutions Enabler</v>
      </c>
      <c r="K37" s="14" t="str">
        <f aca="false">IFERROR(VLOOKUP(D37,Role_Mapping!$A$5:$D$31,3,FALSE()),"IN")</f>
        <v>IN</v>
      </c>
      <c r="L37" s="15" t="n">
        <f aca="false">IFERROR(SUMPRODUCT((Rate_Card!$A$5:$A$34=J37)*(Rate_Card!$B$5:$B$34=K37)*Rate_Card!$C$5:$C$34),0)</f>
        <v>683</v>
      </c>
      <c r="M37" s="10" t="n">
        <f aca="false">F37*5</f>
        <v>35</v>
      </c>
      <c r="N37" s="16" t="n">
        <f aca="false">L37*M37*H37</f>
        <v>23905</v>
      </c>
      <c r="O37" s="10" t="n">
        <f aca="false">(G37-E37)+1</f>
        <v>50</v>
      </c>
      <c r="P37" s="14" t="str">
        <f aca="false">IFERROR(VLOOKUP(D37,Role_Mapping!$A$5:$D$31,4,FALSE()),"UNMAPPED")</f>
        <v>Data Engineering</v>
      </c>
      <c r="Q37" s="16" t="n">
        <f aca="false">$N37*MAX(0,(MIN($G37,DATE(2026,7,31))-MAX($E37,DATE(2026,7,1))+1))/$O37</f>
        <v>5737.2</v>
      </c>
      <c r="R37" s="16" t="n">
        <f aca="false">$N37*MAX(0,(MIN($G37,DATE(2026,8,31))-MAX($E37,DATE(2026,8,1))+1))/$O37</f>
        <v>14821.1</v>
      </c>
      <c r="S37" s="16" t="n">
        <f aca="false">$N37*MAX(0,(MIN($G37,DATE(2026,9,30))-MAX($E37,DATE(2026,9,1))+1))/$O37</f>
        <v>3346.7</v>
      </c>
      <c r="T37" s="16" t="n">
        <f aca="false">$N37*MAX(0,(MIN($G37,DATE(2026,10,31))-MAX($E37,DATE(2026,10,1))+1))/$O37</f>
        <v>0</v>
      </c>
      <c r="U37" s="16" t="n">
        <f aca="false">$N37*MAX(0,(MIN($G37,DATE(2026,11,30))-MAX($E37,DATE(2026,11,1))+1))/$O37</f>
        <v>0</v>
      </c>
      <c r="V37" s="16" t="n">
        <f aca="false">$N37*MAX(0,(MIN($G37,DATE(2026,12,31))-MAX($E37,DATE(2026,12,1))+1))/$O37</f>
        <v>0</v>
      </c>
      <c r="W37" s="17" t="n">
        <f aca="false">$H37*MAX(0,(MIN($G37,DATE(2026,7,31))-MAX($E37,DATE(2026,7,1))+1))/30.4</f>
        <v>0.394736842105263</v>
      </c>
      <c r="X37" s="17" t="n">
        <f aca="false">$H37*MAX(0,(MIN($G37,DATE(2026,8,31))-MAX($E37,DATE(2026,8,1))+1))/30.4</f>
        <v>1.01973684210526</v>
      </c>
      <c r="Y37" s="17" t="n">
        <f aca="false">$H37*MAX(0,(MIN($G37,DATE(2026,9,30))-MAX($E37,DATE(2026,9,1))+1))/30.4</f>
        <v>0.230263157894737</v>
      </c>
      <c r="Z37" s="17" t="n">
        <f aca="false">$H37*MAX(0,(MIN($G37,DATE(2026,10,31))-MAX($E37,DATE(2026,10,1))+1))/30.4</f>
        <v>0</v>
      </c>
      <c r="AA37" s="17" t="n">
        <f aca="false">$H37*MAX(0,(MIN($G37,DATE(2026,11,30))-MAX($E37,DATE(2026,11,1))+1))/30.4</f>
        <v>0</v>
      </c>
      <c r="AB37" s="17" t="n">
        <f aca="false">$H37*MAX(0,(MIN($G37,DATE(2026,12,31))-MAX($E37,DATE(2026,12,1))+1))/30.4</f>
        <v>0</v>
      </c>
    </row>
    <row r="38" customFormat="false" ht="15" hidden="false" customHeight="false" outlineLevel="0" collapsed="false">
      <c r="A38" s="10" t="n">
        <v>7</v>
      </c>
      <c r="B38" s="10" t="n">
        <v>5</v>
      </c>
      <c r="C38" s="10" t="s">
        <v>120</v>
      </c>
      <c r="D38" s="10" t="s">
        <v>75</v>
      </c>
      <c r="E38" s="12" t="n">
        <v>46223</v>
      </c>
      <c r="F38" s="10" t="n">
        <v>7</v>
      </c>
      <c r="G38" s="12" t="n">
        <v>46272</v>
      </c>
      <c r="H38" s="13" t="n">
        <v>1</v>
      </c>
      <c r="I38" s="10" t="s">
        <v>113</v>
      </c>
      <c r="J38" s="14" t="str">
        <f aca="false">IFERROR(VLOOKUP(D38,Role_Mapping!$A$5:$D$31,2,FALSE()),"UNMAPPED")</f>
        <v>Software Engineer</v>
      </c>
      <c r="K38" s="14" t="str">
        <f aca="false">IFERROR(VLOOKUP(D38,Role_Mapping!$A$5:$D$31,3,FALSE()),"IN")</f>
        <v>IN</v>
      </c>
      <c r="L38" s="15" t="n">
        <f aca="false">IFERROR(SUMPRODUCT((Rate_Card!$A$5:$A$34=J38)*(Rate_Card!$B$5:$B$34=K38)*Rate_Card!$C$5:$C$34),0)</f>
        <v>455</v>
      </c>
      <c r="M38" s="10" t="n">
        <f aca="false">F38*5</f>
        <v>35</v>
      </c>
      <c r="N38" s="16" t="n">
        <f aca="false">L38*M38*H38</f>
        <v>15925</v>
      </c>
      <c r="O38" s="10" t="n">
        <f aca="false">(G38-E38)+1</f>
        <v>50</v>
      </c>
      <c r="P38" s="14" t="str">
        <f aca="false">IFERROR(VLOOKUP(D38,Role_Mapping!$A$5:$D$31,4,FALSE()),"UNMAPPED")</f>
        <v>Full Stack</v>
      </c>
      <c r="Q38" s="16" t="n">
        <f aca="false">$N38*MAX(0,(MIN($G38,DATE(2026,7,31))-MAX($E38,DATE(2026,7,1))+1))/$O38</f>
        <v>3822</v>
      </c>
      <c r="R38" s="16" t="n">
        <f aca="false">$N38*MAX(0,(MIN($G38,DATE(2026,8,31))-MAX($E38,DATE(2026,8,1))+1))/$O38</f>
        <v>9873.5</v>
      </c>
      <c r="S38" s="16" t="n">
        <f aca="false">$N38*MAX(0,(MIN($G38,DATE(2026,9,30))-MAX($E38,DATE(2026,9,1))+1))/$O38</f>
        <v>2229.5</v>
      </c>
      <c r="T38" s="16" t="n">
        <f aca="false">$N38*MAX(0,(MIN($G38,DATE(2026,10,31))-MAX($E38,DATE(2026,10,1))+1))/$O38</f>
        <v>0</v>
      </c>
      <c r="U38" s="16" t="n">
        <f aca="false">$N38*MAX(0,(MIN($G38,DATE(2026,11,30))-MAX($E38,DATE(2026,11,1))+1))/$O38</f>
        <v>0</v>
      </c>
      <c r="V38" s="16" t="n">
        <f aca="false">$N38*MAX(0,(MIN($G38,DATE(2026,12,31))-MAX($E38,DATE(2026,12,1))+1))/$O38</f>
        <v>0</v>
      </c>
      <c r="W38" s="17" t="n">
        <f aca="false">$H38*MAX(0,(MIN($G38,DATE(2026,7,31))-MAX($E38,DATE(2026,7,1))+1))/30.4</f>
        <v>0.394736842105263</v>
      </c>
      <c r="X38" s="17" t="n">
        <f aca="false">$H38*MAX(0,(MIN($G38,DATE(2026,8,31))-MAX($E38,DATE(2026,8,1))+1))/30.4</f>
        <v>1.01973684210526</v>
      </c>
      <c r="Y38" s="17" t="n">
        <f aca="false">$H38*MAX(0,(MIN($G38,DATE(2026,9,30))-MAX($E38,DATE(2026,9,1))+1))/30.4</f>
        <v>0.230263157894737</v>
      </c>
      <c r="Z38" s="17" t="n">
        <f aca="false">$H38*MAX(0,(MIN($G38,DATE(2026,10,31))-MAX($E38,DATE(2026,10,1))+1))/30.4</f>
        <v>0</v>
      </c>
      <c r="AA38" s="17" t="n">
        <f aca="false">$H38*MAX(0,(MIN($G38,DATE(2026,11,30))-MAX($E38,DATE(2026,11,1))+1))/30.4</f>
        <v>0</v>
      </c>
      <c r="AB38" s="17" t="n">
        <f aca="false">$H38*MAX(0,(MIN($G38,DATE(2026,12,31))-MAX($E38,DATE(2026,12,1))+1))/30.4</f>
        <v>0</v>
      </c>
    </row>
    <row r="39" customFormat="false" ht="15" hidden="false" customHeight="false" outlineLevel="0" collapsed="false">
      <c r="A39" s="10" t="n">
        <v>8</v>
      </c>
      <c r="B39" s="10" t="n">
        <v>5</v>
      </c>
      <c r="C39" s="10" t="s">
        <v>121</v>
      </c>
      <c r="D39" s="10" t="s">
        <v>72</v>
      </c>
      <c r="E39" s="12" t="n">
        <v>46216</v>
      </c>
      <c r="F39" s="10" t="n">
        <v>16</v>
      </c>
      <c r="G39" s="12" t="n">
        <v>46328</v>
      </c>
      <c r="H39" s="13" t="n">
        <v>0.25</v>
      </c>
      <c r="I39" s="10" t="s">
        <v>113</v>
      </c>
      <c r="J39" s="14" t="str">
        <f aca="false">IFERROR(VLOOKUP(D39,Role_Mapping!$A$5:$D$31,2,FALSE()),"UNMAPPED")</f>
        <v>Senior Consultant</v>
      </c>
      <c r="K39" s="14" t="str">
        <f aca="false">IFERROR(VLOOKUP(D39,Role_Mapping!$A$5:$D$31,3,FALSE()),"IN")</f>
        <v>UK</v>
      </c>
      <c r="L39" s="15" t="n">
        <f aca="false">IFERROR(SUMPRODUCT((Rate_Card!$A$5:$A$34=J39)*(Rate_Card!$B$5:$B$34=K39)*Rate_Card!$C$5:$C$34),0)</f>
        <v>2798</v>
      </c>
      <c r="M39" s="10" t="n">
        <f aca="false">F39*5</f>
        <v>80</v>
      </c>
      <c r="N39" s="16" t="n">
        <f aca="false">L39*M39*H39</f>
        <v>55960</v>
      </c>
      <c r="O39" s="10" t="n">
        <f aca="false">(G39-E39)+1</f>
        <v>113</v>
      </c>
      <c r="P39" s="14" t="str">
        <f aca="false">IFERROR(VLOOKUP(D39,Role_Mapping!$A$5:$D$31,4,FALSE()),"UNMAPPED")</f>
        <v>Consulting</v>
      </c>
      <c r="Q39" s="16" t="n">
        <f aca="false">$N39*MAX(0,(MIN($G39,DATE(2026,7,31))-MAX($E39,DATE(2026,7,1))+1))/$O39</f>
        <v>9409.20353982301</v>
      </c>
      <c r="R39" s="16" t="n">
        <f aca="false">$N39*MAX(0,(MIN($G39,DATE(2026,8,31))-MAX($E39,DATE(2026,8,1))+1))/$O39</f>
        <v>15351.8584070796</v>
      </c>
      <c r="S39" s="16" t="n">
        <f aca="false">$N39*MAX(0,(MIN($G39,DATE(2026,9,30))-MAX($E39,DATE(2026,9,1))+1))/$O39</f>
        <v>14856.6371681416</v>
      </c>
      <c r="T39" s="16" t="n">
        <f aca="false">$N39*MAX(0,(MIN($G39,DATE(2026,10,31))-MAX($E39,DATE(2026,10,1))+1))/$O39</f>
        <v>15351.8584070796</v>
      </c>
      <c r="U39" s="16" t="n">
        <f aca="false">$N39*MAX(0,(MIN($G39,DATE(2026,11,30))-MAX($E39,DATE(2026,11,1))+1))/$O39</f>
        <v>990.442477876106</v>
      </c>
      <c r="V39" s="16" t="n">
        <f aca="false">$N39*MAX(0,(MIN($G39,DATE(2026,12,31))-MAX($E39,DATE(2026,12,1))+1))/$O39</f>
        <v>0</v>
      </c>
      <c r="W39" s="17" t="n">
        <f aca="false">$H39*MAX(0,(MIN($G39,DATE(2026,7,31))-MAX($E39,DATE(2026,7,1))+1))/30.4</f>
        <v>0.15625</v>
      </c>
      <c r="X39" s="17" t="n">
        <f aca="false">$H39*MAX(0,(MIN($G39,DATE(2026,8,31))-MAX($E39,DATE(2026,8,1))+1))/30.4</f>
        <v>0.254934210526316</v>
      </c>
      <c r="Y39" s="17" t="n">
        <f aca="false">$H39*MAX(0,(MIN($G39,DATE(2026,9,30))-MAX($E39,DATE(2026,9,1))+1))/30.4</f>
        <v>0.24671052631579</v>
      </c>
      <c r="Z39" s="17" t="n">
        <f aca="false">$H39*MAX(0,(MIN($G39,DATE(2026,10,31))-MAX($E39,DATE(2026,10,1))+1))/30.4</f>
        <v>0.254934210526316</v>
      </c>
      <c r="AA39" s="17" t="n">
        <f aca="false">$H39*MAX(0,(MIN($G39,DATE(2026,11,30))-MAX($E39,DATE(2026,11,1))+1))/30.4</f>
        <v>0.0164473684210526</v>
      </c>
      <c r="AB39" s="17" t="n">
        <f aca="false">$H39*MAX(0,(MIN($G39,DATE(2026,12,31))-MAX($E39,DATE(2026,12,1))+1))/30.4</f>
        <v>0</v>
      </c>
    </row>
    <row r="40" customFormat="false" ht="15" hidden="false" customHeight="false" outlineLevel="0" collapsed="false">
      <c r="A40" s="10" t="n">
        <v>8</v>
      </c>
      <c r="B40" s="10" t="n">
        <v>5</v>
      </c>
      <c r="C40" s="10" t="s">
        <v>121</v>
      </c>
      <c r="D40" s="10" t="s">
        <v>67</v>
      </c>
      <c r="E40" s="12" t="n">
        <v>46216</v>
      </c>
      <c r="F40" s="10" t="n">
        <v>16</v>
      </c>
      <c r="G40" s="12" t="n">
        <v>46328</v>
      </c>
      <c r="H40" s="13" t="n">
        <v>1</v>
      </c>
      <c r="I40" s="10" t="s">
        <v>113</v>
      </c>
      <c r="J40" s="14" t="str">
        <f aca="false">IFERROR(VLOOKUP(D40,Role_Mapping!$A$5:$D$31,2,FALSE()),"UNMAPPED")</f>
        <v>Senior Associate Consultant</v>
      </c>
      <c r="K40" s="14" t="str">
        <f aca="false">IFERROR(VLOOKUP(D40,Role_Mapping!$A$5:$D$31,3,FALSE()),"IN")</f>
        <v>IN</v>
      </c>
      <c r="L40" s="15" t="n">
        <f aca="false">IFERROR(SUMPRODUCT((Rate_Card!$A$5:$A$34=J40)*(Rate_Card!$B$5:$B$34=K40)*Rate_Card!$C$5:$C$34),0)</f>
        <v>683</v>
      </c>
      <c r="M40" s="10" t="n">
        <f aca="false">F40*5</f>
        <v>80</v>
      </c>
      <c r="N40" s="16" t="n">
        <f aca="false">L40*M40*H40</f>
        <v>54640</v>
      </c>
      <c r="O40" s="10" t="n">
        <f aca="false">(G40-E40)+1</f>
        <v>113</v>
      </c>
      <c r="P40" s="14" t="str">
        <f aca="false">IFERROR(VLOOKUP(D40,Role_Mapping!$A$5:$D$31,4,FALSE()),"UNMAPPED")</f>
        <v>Consulting</v>
      </c>
      <c r="Q40" s="16" t="n">
        <f aca="false">$N40*MAX(0,(MIN($G40,DATE(2026,7,31))-MAX($E40,DATE(2026,7,1))+1))/$O40</f>
        <v>9187.25663716814</v>
      </c>
      <c r="R40" s="16" t="n">
        <f aca="false">$N40*MAX(0,(MIN($G40,DATE(2026,8,31))-MAX($E40,DATE(2026,8,1))+1))/$O40</f>
        <v>14989.7345132743</v>
      </c>
      <c r="S40" s="16" t="n">
        <f aca="false">$N40*MAX(0,(MIN($G40,DATE(2026,9,30))-MAX($E40,DATE(2026,9,1))+1))/$O40</f>
        <v>14506.1946902655</v>
      </c>
      <c r="T40" s="16" t="n">
        <f aca="false">$N40*MAX(0,(MIN($G40,DATE(2026,10,31))-MAX($E40,DATE(2026,10,1))+1))/$O40</f>
        <v>14989.7345132743</v>
      </c>
      <c r="U40" s="16" t="n">
        <f aca="false">$N40*MAX(0,(MIN($G40,DATE(2026,11,30))-MAX($E40,DATE(2026,11,1))+1))/$O40</f>
        <v>967.079646017699</v>
      </c>
      <c r="V40" s="16" t="n">
        <f aca="false">$N40*MAX(0,(MIN($G40,DATE(2026,12,31))-MAX($E40,DATE(2026,12,1))+1))/$O40</f>
        <v>0</v>
      </c>
      <c r="W40" s="17" t="n">
        <f aca="false">$H40*MAX(0,(MIN($G40,DATE(2026,7,31))-MAX($E40,DATE(2026,7,1))+1))/30.4</f>
        <v>0.625</v>
      </c>
      <c r="X40" s="17" t="n">
        <f aca="false">$H40*MAX(0,(MIN($G40,DATE(2026,8,31))-MAX($E40,DATE(2026,8,1))+1))/30.4</f>
        <v>1.01973684210526</v>
      </c>
      <c r="Y40" s="17" t="n">
        <f aca="false">$H40*MAX(0,(MIN($G40,DATE(2026,9,30))-MAX($E40,DATE(2026,9,1))+1))/30.4</f>
        <v>0.986842105263158</v>
      </c>
      <c r="Z40" s="17" t="n">
        <f aca="false">$H40*MAX(0,(MIN($G40,DATE(2026,10,31))-MAX($E40,DATE(2026,10,1))+1))/30.4</f>
        <v>1.01973684210526</v>
      </c>
      <c r="AA40" s="17" t="n">
        <f aca="false">$H40*MAX(0,(MIN($G40,DATE(2026,11,30))-MAX($E40,DATE(2026,11,1))+1))/30.4</f>
        <v>0.0657894736842105</v>
      </c>
      <c r="AB40" s="17" t="n">
        <f aca="false">$H40*MAX(0,(MIN($G40,DATE(2026,12,31))-MAX($E40,DATE(2026,12,1))+1))/30.4</f>
        <v>0</v>
      </c>
    </row>
    <row r="41" customFormat="false" ht="15" hidden="false" customHeight="false" outlineLevel="0" collapsed="false">
      <c r="A41" s="10" t="n">
        <v>8</v>
      </c>
      <c r="B41" s="10" t="n">
        <v>5</v>
      </c>
      <c r="C41" s="10" t="s">
        <v>121</v>
      </c>
      <c r="D41" s="10" t="s">
        <v>64</v>
      </c>
      <c r="E41" s="12" t="n">
        <v>46216</v>
      </c>
      <c r="F41" s="10" t="n">
        <v>16</v>
      </c>
      <c r="G41" s="12" t="n">
        <v>46328</v>
      </c>
      <c r="H41" s="13" t="n">
        <v>0.125</v>
      </c>
      <c r="I41" s="10" t="s">
        <v>113</v>
      </c>
      <c r="J41" s="14" t="str">
        <f aca="false">IFERROR(VLOOKUP(D41,Role_Mapping!$A$5:$D$31,2,FALSE()),"UNMAPPED")</f>
        <v>Principal Technology Architect</v>
      </c>
      <c r="K41" s="14" t="str">
        <f aca="false">IFERROR(VLOOKUP(D41,Role_Mapping!$A$5:$D$31,3,FALSE()),"IN")</f>
        <v>IN</v>
      </c>
      <c r="L41" s="15" t="n">
        <f aca="false">IFERROR(SUMPRODUCT((Rate_Card!$A$5:$A$34=J41)*(Rate_Card!$B$5:$B$34=K41)*Rate_Card!$C$5:$C$34),0)</f>
        <v>845</v>
      </c>
      <c r="M41" s="10" t="n">
        <f aca="false">F41*5</f>
        <v>80</v>
      </c>
      <c r="N41" s="16" t="n">
        <f aca="false">L41*M41*H41</f>
        <v>8450</v>
      </c>
      <c r="O41" s="10" t="n">
        <f aca="false">(G41-E41)+1</f>
        <v>113</v>
      </c>
      <c r="P41" s="14" t="str">
        <f aca="false">IFERROR(VLOOKUP(D41,Role_Mapping!$A$5:$D$31,4,FALSE()),"UNMAPPED")</f>
        <v>Full Stack</v>
      </c>
      <c r="Q41" s="16" t="n">
        <f aca="false">$N41*MAX(0,(MIN($G41,DATE(2026,7,31))-MAX($E41,DATE(2026,7,1))+1))/$O41</f>
        <v>1420.79646017699</v>
      </c>
      <c r="R41" s="16" t="n">
        <f aca="false">$N41*MAX(0,(MIN($G41,DATE(2026,8,31))-MAX($E41,DATE(2026,8,1))+1))/$O41</f>
        <v>2318.14159292035</v>
      </c>
      <c r="S41" s="16" t="n">
        <f aca="false">$N41*MAX(0,(MIN($G41,DATE(2026,9,30))-MAX($E41,DATE(2026,9,1))+1))/$O41</f>
        <v>2243.36283185841</v>
      </c>
      <c r="T41" s="16" t="n">
        <f aca="false">$N41*MAX(0,(MIN($G41,DATE(2026,10,31))-MAX($E41,DATE(2026,10,1))+1))/$O41</f>
        <v>2318.14159292035</v>
      </c>
      <c r="U41" s="16" t="n">
        <f aca="false">$N41*MAX(0,(MIN($G41,DATE(2026,11,30))-MAX($E41,DATE(2026,11,1))+1))/$O41</f>
        <v>149.557522123894</v>
      </c>
      <c r="V41" s="16" t="n">
        <f aca="false">$N41*MAX(0,(MIN($G41,DATE(2026,12,31))-MAX($E41,DATE(2026,12,1))+1))/$O41</f>
        <v>0</v>
      </c>
      <c r="W41" s="17" t="n">
        <f aca="false">$H41*MAX(0,(MIN($G41,DATE(2026,7,31))-MAX($E41,DATE(2026,7,1))+1))/30.4</f>
        <v>0.078125</v>
      </c>
      <c r="X41" s="17" t="n">
        <f aca="false">$H41*MAX(0,(MIN($G41,DATE(2026,8,31))-MAX($E41,DATE(2026,8,1))+1))/30.4</f>
        <v>0.127467105263158</v>
      </c>
      <c r="Y41" s="17" t="n">
        <f aca="false">$H41*MAX(0,(MIN($G41,DATE(2026,9,30))-MAX($E41,DATE(2026,9,1))+1))/30.4</f>
        <v>0.123355263157895</v>
      </c>
      <c r="Z41" s="17" t="n">
        <f aca="false">$H41*MAX(0,(MIN($G41,DATE(2026,10,31))-MAX($E41,DATE(2026,10,1))+1))/30.4</f>
        <v>0.127467105263158</v>
      </c>
      <c r="AA41" s="17" t="n">
        <f aca="false">$H41*MAX(0,(MIN($G41,DATE(2026,11,30))-MAX($E41,DATE(2026,11,1))+1))/30.4</f>
        <v>0.00822368421052632</v>
      </c>
      <c r="AB41" s="17" t="n">
        <f aca="false">$H41*MAX(0,(MIN($G41,DATE(2026,12,31))-MAX($E41,DATE(2026,12,1))+1))/30.4</f>
        <v>0</v>
      </c>
    </row>
    <row r="42" customFormat="false" ht="15" hidden="false" customHeight="false" outlineLevel="0" collapsed="false">
      <c r="A42" s="10" t="n">
        <v>8</v>
      </c>
      <c r="B42" s="10" t="n">
        <v>5</v>
      </c>
      <c r="C42" s="10" t="s">
        <v>121</v>
      </c>
      <c r="D42" s="10" t="s">
        <v>80</v>
      </c>
      <c r="E42" s="12" t="n">
        <v>46216</v>
      </c>
      <c r="F42" s="10" t="n">
        <v>16</v>
      </c>
      <c r="G42" s="12" t="n">
        <v>46328</v>
      </c>
      <c r="H42" s="13" t="n">
        <v>0.5</v>
      </c>
      <c r="I42" s="10" t="s">
        <v>113</v>
      </c>
      <c r="J42" s="14" t="str">
        <f aca="false">IFERROR(VLOOKUP(D42,Role_Mapping!$A$5:$D$31,2,FALSE()),"UNMAPPED")</f>
        <v>Solutions Consultant</v>
      </c>
      <c r="K42" s="14" t="str">
        <f aca="false">IFERROR(VLOOKUP(D42,Role_Mapping!$A$5:$D$31,3,FALSE()),"IN")</f>
        <v>IN</v>
      </c>
      <c r="L42" s="15" t="n">
        <f aca="false">IFERROR(SUMPRODUCT((Rate_Card!$A$5:$A$34=J42)*(Rate_Card!$B$5:$B$34=K42)*Rate_Card!$C$5:$C$34),0)</f>
        <v>683</v>
      </c>
      <c r="M42" s="10" t="n">
        <f aca="false">F42*5</f>
        <v>80</v>
      </c>
      <c r="N42" s="16" t="n">
        <f aca="false">L42*M42*H42</f>
        <v>27320</v>
      </c>
      <c r="O42" s="10" t="n">
        <f aca="false">(G42-E42)+1</f>
        <v>113</v>
      </c>
      <c r="P42" s="14" t="str">
        <f aca="false">IFERROR(VLOOKUP(D42,Role_Mapping!$A$5:$D$31,4,FALSE()),"UNMAPPED")</f>
        <v>Power BI &amp; Consulting</v>
      </c>
      <c r="Q42" s="16" t="n">
        <f aca="false">$N42*MAX(0,(MIN($G42,DATE(2026,7,31))-MAX($E42,DATE(2026,7,1))+1))/$O42</f>
        <v>4593.62831858407</v>
      </c>
      <c r="R42" s="16" t="n">
        <f aca="false">$N42*MAX(0,(MIN($G42,DATE(2026,8,31))-MAX($E42,DATE(2026,8,1))+1))/$O42</f>
        <v>7494.86725663717</v>
      </c>
      <c r="S42" s="16" t="n">
        <f aca="false">$N42*MAX(0,(MIN($G42,DATE(2026,9,30))-MAX($E42,DATE(2026,9,1))+1))/$O42</f>
        <v>7253.09734513274</v>
      </c>
      <c r="T42" s="16" t="n">
        <f aca="false">$N42*MAX(0,(MIN($G42,DATE(2026,10,31))-MAX($E42,DATE(2026,10,1))+1))/$O42</f>
        <v>7494.86725663717</v>
      </c>
      <c r="U42" s="16" t="n">
        <f aca="false">$N42*MAX(0,(MIN($G42,DATE(2026,11,30))-MAX($E42,DATE(2026,11,1))+1))/$O42</f>
        <v>483.53982300885</v>
      </c>
      <c r="V42" s="16" t="n">
        <f aca="false">$N42*MAX(0,(MIN($G42,DATE(2026,12,31))-MAX($E42,DATE(2026,12,1))+1))/$O42</f>
        <v>0</v>
      </c>
      <c r="W42" s="17" t="n">
        <f aca="false">$H42*MAX(0,(MIN($G42,DATE(2026,7,31))-MAX($E42,DATE(2026,7,1))+1))/30.4</f>
        <v>0.3125</v>
      </c>
      <c r="X42" s="17" t="n">
        <f aca="false">$H42*MAX(0,(MIN($G42,DATE(2026,8,31))-MAX($E42,DATE(2026,8,1))+1))/30.4</f>
        <v>0.509868421052632</v>
      </c>
      <c r="Y42" s="17" t="n">
        <f aca="false">$H42*MAX(0,(MIN($G42,DATE(2026,9,30))-MAX($E42,DATE(2026,9,1))+1))/30.4</f>
        <v>0.493421052631579</v>
      </c>
      <c r="Z42" s="17" t="n">
        <f aca="false">$H42*MAX(0,(MIN($G42,DATE(2026,10,31))-MAX($E42,DATE(2026,10,1))+1))/30.4</f>
        <v>0.509868421052632</v>
      </c>
      <c r="AA42" s="17" t="n">
        <f aca="false">$H42*MAX(0,(MIN($G42,DATE(2026,11,30))-MAX($E42,DATE(2026,11,1))+1))/30.4</f>
        <v>0.0328947368421053</v>
      </c>
      <c r="AB42" s="17" t="n">
        <f aca="false">$H42*MAX(0,(MIN($G42,DATE(2026,12,31))-MAX($E42,DATE(2026,12,1))+1))/30.4</f>
        <v>0</v>
      </c>
    </row>
    <row r="43" customFormat="false" ht="15" hidden="false" customHeight="false" outlineLevel="0" collapsed="false">
      <c r="A43" s="10" t="n">
        <v>8</v>
      </c>
      <c r="B43" s="10" t="n">
        <v>5</v>
      </c>
      <c r="C43" s="10" t="s">
        <v>121</v>
      </c>
      <c r="D43" s="10" t="s">
        <v>58</v>
      </c>
      <c r="E43" s="12" t="n">
        <v>46216</v>
      </c>
      <c r="F43" s="10" t="n">
        <v>16</v>
      </c>
      <c r="G43" s="12" t="n">
        <v>46328</v>
      </c>
      <c r="H43" s="13" t="n">
        <v>1</v>
      </c>
      <c r="I43" s="10" t="s">
        <v>113</v>
      </c>
      <c r="J43" s="14" t="str">
        <f aca="false">IFERROR(VLOOKUP(D43,Role_Mapping!$A$5:$D$31,2,FALSE()),"UNMAPPED")</f>
        <v>Solutions Enabler</v>
      </c>
      <c r="K43" s="14" t="str">
        <f aca="false">IFERROR(VLOOKUP(D43,Role_Mapping!$A$5:$D$31,3,FALSE()),"IN")</f>
        <v>IN</v>
      </c>
      <c r="L43" s="15" t="n">
        <f aca="false">IFERROR(SUMPRODUCT((Rate_Card!$A$5:$A$34=J43)*(Rate_Card!$B$5:$B$34=K43)*Rate_Card!$C$5:$C$34),0)</f>
        <v>683</v>
      </c>
      <c r="M43" s="10" t="n">
        <f aca="false">F43*5</f>
        <v>80</v>
      </c>
      <c r="N43" s="16" t="n">
        <f aca="false">L43*M43*H43</f>
        <v>54640</v>
      </c>
      <c r="O43" s="10" t="n">
        <f aca="false">(G43-E43)+1</f>
        <v>113</v>
      </c>
      <c r="P43" s="14" t="str">
        <f aca="false">IFERROR(VLOOKUP(D43,Role_Mapping!$A$5:$D$31,4,FALSE()),"UNMAPPED")</f>
        <v>Data Engineering</v>
      </c>
      <c r="Q43" s="16" t="n">
        <f aca="false">$N43*MAX(0,(MIN($G43,DATE(2026,7,31))-MAX($E43,DATE(2026,7,1))+1))/$O43</f>
        <v>9187.25663716814</v>
      </c>
      <c r="R43" s="16" t="n">
        <f aca="false">$N43*MAX(0,(MIN($G43,DATE(2026,8,31))-MAX($E43,DATE(2026,8,1))+1))/$O43</f>
        <v>14989.7345132743</v>
      </c>
      <c r="S43" s="16" t="n">
        <f aca="false">$N43*MAX(0,(MIN($G43,DATE(2026,9,30))-MAX($E43,DATE(2026,9,1))+1))/$O43</f>
        <v>14506.1946902655</v>
      </c>
      <c r="T43" s="16" t="n">
        <f aca="false">$N43*MAX(0,(MIN($G43,DATE(2026,10,31))-MAX($E43,DATE(2026,10,1))+1))/$O43</f>
        <v>14989.7345132743</v>
      </c>
      <c r="U43" s="16" t="n">
        <f aca="false">$N43*MAX(0,(MIN($G43,DATE(2026,11,30))-MAX($E43,DATE(2026,11,1))+1))/$O43</f>
        <v>967.079646017699</v>
      </c>
      <c r="V43" s="16" t="n">
        <f aca="false">$N43*MAX(0,(MIN($G43,DATE(2026,12,31))-MAX($E43,DATE(2026,12,1))+1))/$O43</f>
        <v>0</v>
      </c>
      <c r="W43" s="17" t="n">
        <f aca="false">$H43*MAX(0,(MIN($G43,DATE(2026,7,31))-MAX($E43,DATE(2026,7,1))+1))/30.4</f>
        <v>0.625</v>
      </c>
      <c r="X43" s="17" t="n">
        <f aca="false">$H43*MAX(0,(MIN($G43,DATE(2026,8,31))-MAX($E43,DATE(2026,8,1))+1))/30.4</f>
        <v>1.01973684210526</v>
      </c>
      <c r="Y43" s="17" t="n">
        <f aca="false">$H43*MAX(0,(MIN($G43,DATE(2026,9,30))-MAX($E43,DATE(2026,9,1))+1))/30.4</f>
        <v>0.986842105263158</v>
      </c>
      <c r="Z43" s="17" t="n">
        <f aca="false">$H43*MAX(0,(MIN($G43,DATE(2026,10,31))-MAX($E43,DATE(2026,10,1))+1))/30.4</f>
        <v>1.01973684210526</v>
      </c>
      <c r="AA43" s="17" t="n">
        <f aca="false">$H43*MAX(0,(MIN($G43,DATE(2026,11,30))-MAX($E43,DATE(2026,11,1))+1))/30.4</f>
        <v>0.0657894736842105</v>
      </c>
      <c r="AB43" s="17" t="n">
        <f aca="false">$H43*MAX(0,(MIN($G43,DATE(2026,12,31))-MAX($E43,DATE(2026,12,1))+1))/30.4</f>
        <v>0</v>
      </c>
    </row>
    <row r="44" customFormat="false" ht="15" hidden="false" customHeight="false" outlineLevel="0" collapsed="false">
      <c r="A44" s="10" t="n">
        <v>8</v>
      </c>
      <c r="B44" s="10" t="n">
        <v>5</v>
      </c>
      <c r="C44" s="10" t="s">
        <v>121</v>
      </c>
      <c r="D44" s="10" t="s">
        <v>76</v>
      </c>
      <c r="E44" s="12" t="n">
        <v>46216</v>
      </c>
      <c r="F44" s="10" t="n">
        <v>16</v>
      </c>
      <c r="G44" s="12" t="n">
        <v>46328</v>
      </c>
      <c r="H44" s="13" t="n">
        <v>1</v>
      </c>
      <c r="I44" s="10" t="s">
        <v>113</v>
      </c>
      <c r="J44" s="14" t="str">
        <f aca="false">IFERROR(VLOOKUP(D44,Role_Mapping!$A$5:$D$31,2,FALSE()),"UNMAPPED")</f>
        <v>Senior Software Engineer</v>
      </c>
      <c r="K44" s="14" t="str">
        <f aca="false">IFERROR(VLOOKUP(D44,Role_Mapping!$A$5:$D$31,3,FALSE()),"IN")</f>
        <v>IN</v>
      </c>
      <c r="L44" s="15" t="n">
        <f aca="false">IFERROR(SUMPRODUCT((Rate_Card!$A$5:$A$34=J44)*(Rate_Card!$B$5:$B$34=K44)*Rate_Card!$C$5:$C$34),0)</f>
        <v>585</v>
      </c>
      <c r="M44" s="10" t="n">
        <f aca="false">F44*5</f>
        <v>80</v>
      </c>
      <c r="N44" s="16" t="n">
        <f aca="false">L44*M44*H44</f>
        <v>46800</v>
      </c>
      <c r="O44" s="10" t="n">
        <f aca="false">(G44-E44)+1</f>
        <v>113</v>
      </c>
      <c r="P44" s="14" t="str">
        <f aca="false">IFERROR(VLOOKUP(D44,Role_Mapping!$A$5:$D$31,4,FALSE()),"UNMAPPED")</f>
        <v>Full Stack</v>
      </c>
      <c r="Q44" s="16" t="n">
        <f aca="false">$N44*MAX(0,(MIN($G44,DATE(2026,7,31))-MAX($E44,DATE(2026,7,1))+1))/$O44</f>
        <v>7869.02654867257</v>
      </c>
      <c r="R44" s="16" t="n">
        <f aca="false">$N44*MAX(0,(MIN($G44,DATE(2026,8,31))-MAX($E44,DATE(2026,8,1))+1))/$O44</f>
        <v>12838.9380530973</v>
      </c>
      <c r="S44" s="16" t="n">
        <f aca="false">$N44*MAX(0,(MIN($G44,DATE(2026,9,30))-MAX($E44,DATE(2026,9,1))+1))/$O44</f>
        <v>12424.7787610619</v>
      </c>
      <c r="T44" s="16" t="n">
        <f aca="false">$N44*MAX(0,(MIN($G44,DATE(2026,10,31))-MAX($E44,DATE(2026,10,1))+1))/$O44</f>
        <v>12838.9380530973</v>
      </c>
      <c r="U44" s="16" t="n">
        <f aca="false">$N44*MAX(0,(MIN($G44,DATE(2026,11,30))-MAX($E44,DATE(2026,11,1))+1))/$O44</f>
        <v>828.318584070796</v>
      </c>
      <c r="V44" s="16" t="n">
        <f aca="false">$N44*MAX(0,(MIN($G44,DATE(2026,12,31))-MAX($E44,DATE(2026,12,1))+1))/$O44</f>
        <v>0</v>
      </c>
      <c r="W44" s="17" t="n">
        <f aca="false">$H44*MAX(0,(MIN($G44,DATE(2026,7,31))-MAX($E44,DATE(2026,7,1))+1))/30.4</f>
        <v>0.625</v>
      </c>
      <c r="X44" s="17" t="n">
        <f aca="false">$H44*MAX(0,(MIN($G44,DATE(2026,8,31))-MAX($E44,DATE(2026,8,1))+1))/30.4</f>
        <v>1.01973684210526</v>
      </c>
      <c r="Y44" s="17" t="n">
        <f aca="false">$H44*MAX(0,(MIN($G44,DATE(2026,9,30))-MAX($E44,DATE(2026,9,1))+1))/30.4</f>
        <v>0.986842105263158</v>
      </c>
      <c r="Z44" s="17" t="n">
        <f aca="false">$H44*MAX(0,(MIN($G44,DATE(2026,10,31))-MAX($E44,DATE(2026,10,1))+1))/30.4</f>
        <v>1.01973684210526</v>
      </c>
      <c r="AA44" s="17" t="n">
        <f aca="false">$H44*MAX(0,(MIN($G44,DATE(2026,11,30))-MAX($E44,DATE(2026,11,1))+1))/30.4</f>
        <v>0.0657894736842105</v>
      </c>
      <c r="AB44" s="17" t="n">
        <f aca="false">$H44*MAX(0,(MIN($G44,DATE(2026,12,31))-MAX($E44,DATE(2026,12,1))+1))/30.4</f>
        <v>0</v>
      </c>
    </row>
    <row r="45" customFormat="false" ht="15" hidden="false" customHeight="false" outlineLevel="0" collapsed="false">
      <c r="A45" s="10" t="n">
        <v>8</v>
      </c>
      <c r="B45" s="10" t="n">
        <v>5</v>
      </c>
      <c r="C45" s="10" t="s">
        <v>121</v>
      </c>
      <c r="D45" s="10" t="s">
        <v>75</v>
      </c>
      <c r="E45" s="12" t="n">
        <v>46216</v>
      </c>
      <c r="F45" s="10" t="n">
        <v>16</v>
      </c>
      <c r="G45" s="12" t="n">
        <v>46328</v>
      </c>
      <c r="H45" s="13" t="n">
        <v>1</v>
      </c>
      <c r="I45" s="10" t="s">
        <v>113</v>
      </c>
      <c r="J45" s="14" t="str">
        <f aca="false">IFERROR(VLOOKUP(D45,Role_Mapping!$A$5:$D$31,2,FALSE()),"UNMAPPED")</f>
        <v>Software Engineer</v>
      </c>
      <c r="K45" s="14" t="str">
        <f aca="false">IFERROR(VLOOKUP(D45,Role_Mapping!$A$5:$D$31,3,FALSE()),"IN")</f>
        <v>IN</v>
      </c>
      <c r="L45" s="15" t="n">
        <f aca="false">IFERROR(SUMPRODUCT((Rate_Card!$A$5:$A$34=J45)*(Rate_Card!$B$5:$B$34=K45)*Rate_Card!$C$5:$C$34),0)</f>
        <v>455</v>
      </c>
      <c r="M45" s="10" t="n">
        <f aca="false">F45*5</f>
        <v>80</v>
      </c>
      <c r="N45" s="16" t="n">
        <f aca="false">L45*M45*H45</f>
        <v>36400</v>
      </c>
      <c r="O45" s="10" t="n">
        <f aca="false">(G45-E45)+1</f>
        <v>113</v>
      </c>
      <c r="P45" s="14" t="str">
        <f aca="false">IFERROR(VLOOKUP(D45,Role_Mapping!$A$5:$D$31,4,FALSE()),"UNMAPPED")</f>
        <v>Full Stack</v>
      </c>
      <c r="Q45" s="16" t="n">
        <f aca="false">$N45*MAX(0,(MIN($G45,DATE(2026,7,31))-MAX($E45,DATE(2026,7,1))+1))/$O45</f>
        <v>6120.35398230089</v>
      </c>
      <c r="R45" s="16" t="n">
        <f aca="false">$N45*MAX(0,(MIN($G45,DATE(2026,8,31))-MAX($E45,DATE(2026,8,1))+1))/$O45</f>
        <v>9985.8407079646</v>
      </c>
      <c r="S45" s="16" t="n">
        <f aca="false">$N45*MAX(0,(MIN($G45,DATE(2026,9,30))-MAX($E45,DATE(2026,9,1))+1))/$O45</f>
        <v>9663.71681415929</v>
      </c>
      <c r="T45" s="16" t="n">
        <f aca="false">$N45*MAX(0,(MIN($G45,DATE(2026,10,31))-MAX($E45,DATE(2026,10,1))+1))/$O45</f>
        <v>9985.8407079646</v>
      </c>
      <c r="U45" s="16" t="n">
        <f aca="false">$N45*MAX(0,(MIN($G45,DATE(2026,11,30))-MAX($E45,DATE(2026,11,1))+1))/$O45</f>
        <v>644.24778761062</v>
      </c>
      <c r="V45" s="16" t="n">
        <f aca="false">$N45*MAX(0,(MIN($G45,DATE(2026,12,31))-MAX($E45,DATE(2026,12,1))+1))/$O45</f>
        <v>0</v>
      </c>
      <c r="W45" s="17" t="n">
        <f aca="false">$H45*MAX(0,(MIN($G45,DATE(2026,7,31))-MAX($E45,DATE(2026,7,1))+1))/30.4</f>
        <v>0.625</v>
      </c>
      <c r="X45" s="17" t="n">
        <f aca="false">$H45*MAX(0,(MIN($G45,DATE(2026,8,31))-MAX($E45,DATE(2026,8,1))+1))/30.4</f>
        <v>1.01973684210526</v>
      </c>
      <c r="Y45" s="17" t="n">
        <f aca="false">$H45*MAX(0,(MIN($G45,DATE(2026,9,30))-MAX($E45,DATE(2026,9,1))+1))/30.4</f>
        <v>0.986842105263158</v>
      </c>
      <c r="Z45" s="17" t="n">
        <f aca="false">$H45*MAX(0,(MIN($G45,DATE(2026,10,31))-MAX($E45,DATE(2026,10,1))+1))/30.4</f>
        <v>1.01973684210526</v>
      </c>
      <c r="AA45" s="17" t="n">
        <f aca="false">$H45*MAX(0,(MIN($G45,DATE(2026,11,30))-MAX($E45,DATE(2026,11,1))+1))/30.4</f>
        <v>0.0657894736842105</v>
      </c>
      <c r="AB45" s="17" t="n">
        <f aca="false">$H45*MAX(0,(MIN($G45,DATE(2026,12,31))-MAX($E45,DATE(2026,12,1))+1))/30.4</f>
        <v>0</v>
      </c>
    </row>
    <row r="46" customFormat="false" ht="15" hidden="false" customHeight="false" outlineLevel="0" collapsed="false">
      <c r="A46" s="10" t="n">
        <v>8</v>
      </c>
      <c r="B46" s="10" t="n">
        <v>5</v>
      </c>
      <c r="C46" s="10" t="s">
        <v>121</v>
      </c>
      <c r="D46" s="10" t="s">
        <v>75</v>
      </c>
      <c r="E46" s="12" t="n">
        <v>46216</v>
      </c>
      <c r="F46" s="10" t="n">
        <v>16</v>
      </c>
      <c r="G46" s="12" t="n">
        <v>46328</v>
      </c>
      <c r="H46" s="13" t="n">
        <v>0.125</v>
      </c>
      <c r="I46" s="10" t="s">
        <v>113</v>
      </c>
      <c r="J46" s="14" t="str">
        <f aca="false">IFERROR(VLOOKUP(D46,Role_Mapping!$A$5:$D$31,2,FALSE()),"UNMAPPED")</f>
        <v>Software Engineer</v>
      </c>
      <c r="K46" s="14" t="str">
        <f aca="false">IFERROR(VLOOKUP(D46,Role_Mapping!$A$5:$D$31,3,FALSE()),"IN")</f>
        <v>IN</v>
      </c>
      <c r="L46" s="15" t="n">
        <f aca="false">IFERROR(SUMPRODUCT((Rate_Card!$A$5:$A$34=J46)*(Rate_Card!$B$5:$B$34=K46)*Rate_Card!$C$5:$C$34),0)</f>
        <v>455</v>
      </c>
      <c r="M46" s="10" t="n">
        <f aca="false">F46*5</f>
        <v>80</v>
      </c>
      <c r="N46" s="16" t="n">
        <f aca="false">L46*M46*H46</f>
        <v>4550</v>
      </c>
      <c r="O46" s="10" t="n">
        <f aca="false">(G46-E46)+1</f>
        <v>113</v>
      </c>
      <c r="P46" s="14" t="str">
        <f aca="false">IFERROR(VLOOKUP(D46,Role_Mapping!$A$5:$D$31,4,FALSE()),"UNMAPPED")</f>
        <v>Full Stack</v>
      </c>
      <c r="Q46" s="16" t="n">
        <f aca="false">$N46*MAX(0,(MIN($G46,DATE(2026,7,31))-MAX($E46,DATE(2026,7,1))+1))/$O46</f>
        <v>765.044247787611</v>
      </c>
      <c r="R46" s="16" t="n">
        <f aca="false">$N46*MAX(0,(MIN($G46,DATE(2026,8,31))-MAX($E46,DATE(2026,8,1))+1))/$O46</f>
        <v>1248.23008849558</v>
      </c>
      <c r="S46" s="16" t="n">
        <f aca="false">$N46*MAX(0,(MIN($G46,DATE(2026,9,30))-MAX($E46,DATE(2026,9,1))+1))/$O46</f>
        <v>1207.96460176991</v>
      </c>
      <c r="T46" s="16" t="n">
        <f aca="false">$N46*MAX(0,(MIN($G46,DATE(2026,10,31))-MAX($E46,DATE(2026,10,1))+1))/$O46</f>
        <v>1248.23008849558</v>
      </c>
      <c r="U46" s="16" t="n">
        <f aca="false">$N46*MAX(0,(MIN($G46,DATE(2026,11,30))-MAX($E46,DATE(2026,11,1))+1))/$O46</f>
        <v>80.5309734513274</v>
      </c>
      <c r="V46" s="16" t="n">
        <f aca="false">$N46*MAX(0,(MIN($G46,DATE(2026,12,31))-MAX($E46,DATE(2026,12,1))+1))/$O46</f>
        <v>0</v>
      </c>
      <c r="W46" s="17" t="n">
        <f aca="false">$H46*MAX(0,(MIN($G46,DATE(2026,7,31))-MAX($E46,DATE(2026,7,1))+1))/30.4</f>
        <v>0.078125</v>
      </c>
      <c r="X46" s="17" t="n">
        <f aca="false">$H46*MAX(0,(MIN($G46,DATE(2026,8,31))-MAX($E46,DATE(2026,8,1))+1))/30.4</f>
        <v>0.127467105263158</v>
      </c>
      <c r="Y46" s="17" t="n">
        <f aca="false">$H46*MAX(0,(MIN($G46,DATE(2026,9,30))-MAX($E46,DATE(2026,9,1))+1))/30.4</f>
        <v>0.123355263157895</v>
      </c>
      <c r="Z46" s="17" t="n">
        <f aca="false">$H46*MAX(0,(MIN($G46,DATE(2026,10,31))-MAX($E46,DATE(2026,10,1))+1))/30.4</f>
        <v>0.127467105263158</v>
      </c>
      <c r="AA46" s="17" t="n">
        <f aca="false">$H46*MAX(0,(MIN($G46,DATE(2026,11,30))-MAX($E46,DATE(2026,11,1))+1))/30.4</f>
        <v>0.00822368421052632</v>
      </c>
      <c r="AB46" s="17" t="n">
        <f aca="false">$H46*MAX(0,(MIN($G46,DATE(2026,12,31))-MAX($E46,DATE(2026,12,1))+1))/30.4</f>
        <v>0</v>
      </c>
    </row>
    <row r="47" customFormat="false" ht="15" hidden="false" customHeight="false" outlineLevel="0" collapsed="false">
      <c r="A47" s="10" t="n">
        <v>9</v>
      </c>
      <c r="B47" s="10" t="n">
        <v>2</v>
      </c>
      <c r="C47" s="10" t="s">
        <v>122</v>
      </c>
      <c r="D47" s="10" t="s">
        <v>62</v>
      </c>
      <c r="E47" s="12" t="n">
        <v>46216</v>
      </c>
      <c r="F47" s="10" t="n">
        <v>6</v>
      </c>
      <c r="G47" s="12" t="n">
        <v>46258</v>
      </c>
      <c r="H47" s="13" t="n">
        <v>0.125</v>
      </c>
      <c r="I47" s="10" t="s">
        <v>123</v>
      </c>
      <c r="J47" s="14" t="str">
        <f aca="false">IFERROR(VLOOKUP(D47,Role_Mapping!$A$5:$D$31,2,FALSE()),"UNMAPPED")</f>
        <v>Associate Partner</v>
      </c>
      <c r="K47" s="14" t="str">
        <f aca="false">IFERROR(VLOOKUP(D47,Role_Mapping!$A$5:$D$31,3,FALSE()),"IN")</f>
        <v>UK</v>
      </c>
      <c r="L47" s="15" t="n">
        <f aca="false">IFERROR(SUMPRODUCT((Rate_Card!$A$5:$A$34=J47)*(Rate_Card!$B$5:$B$34=K47)*Rate_Card!$C$5:$C$34),0)</f>
        <v>3526</v>
      </c>
      <c r="M47" s="10" t="n">
        <f aca="false">F47*5</f>
        <v>30</v>
      </c>
      <c r="N47" s="16" t="n">
        <f aca="false">L47*M47*H47</f>
        <v>13222.5</v>
      </c>
      <c r="O47" s="10" t="n">
        <f aca="false">(G47-E47)+1</f>
        <v>43</v>
      </c>
      <c r="P47" s="14" t="str">
        <f aca="false">IFERROR(VLOOKUP(D47,Role_Mapping!$A$5:$D$31,4,FALSE()),"UNMAPPED")</f>
        <v>GTM</v>
      </c>
      <c r="Q47" s="16" t="n">
        <f aca="false">$N47*MAX(0,(MIN($G47,DATE(2026,7,31))-MAX($E47,DATE(2026,7,1))+1))/$O47</f>
        <v>5842.5</v>
      </c>
      <c r="R47" s="16" t="n">
        <f aca="false">$N47*MAX(0,(MIN($G47,DATE(2026,8,31))-MAX($E47,DATE(2026,8,1))+1))/$O47</f>
        <v>7380</v>
      </c>
      <c r="S47" s="16" t="n">
        <f aca="false">$N47*MAX(0,(MIN($G47,DATE(2026,9,30))-MAX($E47,DATE(2026,9,1))+1))/$O47</f>
        <v>0</v>
      </c>
      <c r="T47" s="16" t="n">
        <f aca="false">$N47*MAX(0,(MIN($G47,DATE(2026,10,31))-MAX($E47,DATE(2026,10,1))+1))/$O47</f>
        <v>0</v>
      </c>
      <c r="U47" s="16" t="n">
        <f aca="false">$N47*MAX(0,(MIN($G47,DATE(2026,11,30))-MAX($E47,DATE(2026,11,1))+1))/$O47</f>
        <v>0</v>
      </c>
      <c r="V47" s="16" t="n">
        <f aca="false">$N47*MAX(0,(MIN($G47,DATE(2026,12,31))-MAX($E47,DATE(2026,12,1))+1))/$O47</f>
        <v>0</v>
      </c>
      <c r="W47" s="17" t="n">
        <f aca="false">$H47*MAX(0,(MIN($G47,DATE(2026,7,31))-MAX($E47,DATE(2026,7,1))+1))/30.4</f>
        <v>0.078125</v>
      </c>
      <c r="X47" s="17" t="n">
        <f aca="false">$H47*MAX(0,(MIN($G47,DATE(2026,8,31))-MAX($E47,DATE(2026,8,1))+1))/30.4</f>
        <v>0.0986842105263158</v>
      </c>
      <c r="Y47" s="17" t="n">
        <f aca="false">$H47*MAX(0,(MIN($G47,DATE(2026,9,30))-MAX($E47,DATE(2026,9,1))+1))/30.4</f>
        <v>0</v>
      </c>
      <c r="Z47" s="17" t="n">
        <f aca="false">$H47*MAX(0,(MIN($G47,DATE(2026,10,31))-MAX($E47,DATE(2026,10,1))+1))/30.4</f>
        <v>0</v>
      </c>
      <c r="AA47" s="17" t="n">
        <f aca="false">$H47*MAX(0,(MIN($G47,DATE(2026,11,30))-MAX($E47,DATE(2026,11,1))+1))/30.4</f>
        <v>0</v>
      </c>
      <c r="AB47" s="17" t="n">
        <f aca="false">$H47*MAX(0,(MIN($G47,DATE(2026,12,31))-MAX($E47,DATE(2026,12,1))+1))/30.4</f>
        <v>0</v>
      </c>
    </row>
    <row r="48" customFormat="false" ht="15" hidden="false" customHeight="false" outlineLevel="0" collapsed="false">
      <c r="A48" s="10" t="n">
        <v>9</v>
      </c>
      <c r="B48" s="10" t="n">
        <v>2</v>
      </c>
      <c r="C48" s="10" t="s">
        <v>122</v>
      </c>
      <c r="D48" s="10" t="s">
        <v>56</v>
      </c>
      <c r="E48" s="12" t="n">
        <v>46216</v>
      </c>
      <c r="F48" s="10" t="n">
        <v>6</v>
      </c>
      <c r="G48" s="12" t="n">
        <v>46258</v>
      </c>
      <c r="H48" s="13" t="n">
        <v>0.5</v>
      </c>
      <c r="I48" s="10" t="s">
        <v>123</v>
      </c>
      <c r="J48" s="14" t="str">
        <f aca="false">IFERROR(VLOOKUP(D48,Role_Mapping!$A$5:$D$31,2,FALSE()),"UNMAPPED")</f>
        <v>Manager</v>
      </c>
      <c r="K48" s="14" t="str">
        <f aca="false">IFERROR(VLOOKUP(D48,Role_Mapping!$A$5:$D$31,3,FALSE()),"IN")</f>
        <v>UK</v>
      </c>
      <c r="L48" s="15" t="n">
        <f aca="false">IFERROR(SUMPRODUCT((Rate_Card!$A$5:$A$34=J48)*(Rate_Card!$B$5:$B$34=K48)*Rate_Card!$C$5:$C$34),0)</f>
        <v>2984</v>
      </c>
      <c r="M48" s="10" t="n">
        <f aca="false">F48*5</f>
        <v>30</v>
      </c>
      <c r="N48" s="16" t="n">
        <f aca="false">L48*M48*H48</f>
        <v>44760</v>
      </c>
      <c r="O48" s="10" t="n">
        <f aca="false">(G48-E48)+1</f>
        <v>43</v>
      </c>
      <c r="P48" s="14" t="str">
        <f aca="false">IFERROR(VLOOKUP(D48,Role_Mapping!$A$5:$D$31,4,FALSE()),"UNMAPPED")</f>
        <v>Consulting</v>
      </c>
      <c r="Q48" s="16" t="n">
        <f aca="false">$N48*MAX(0,(MIN($G48,DATE(2026,7,31))-MAX($E48,DATE(2026,7,1))+1))/$O48</f>
        <v>19777.6744186047</v>
      </c>
      <c r="R48" s="16" t="n">
        <f aca="false">$N48*MAX(0,(MIN($G48,DATE(2026,8,31))-MAX($E48,DATE(2026,8,1))+1))/$O48</f>
        <v>24982.3255813953</v>
      </c>
      <c r="S48" s="16" t="n">
        <f aca="false">$N48*MAX(0,(MIN($G48,DATE(2026,9,30))-MAX($E48,DATE(2026,9,1))+1))/$O48</f>
        <v>0</v>
      </c>
      <c r="T48" s="16" t="n">
        <f aca="false">$N48*MAX(0,(MIN($G48,DATE(2026,10,31))-MAX($E48,DATE(2026,10,1))+1))/$O48</f>
        <v>0</v>
      </c>
      <c r="U48" s="16" t="n">
        <f aca="false">$N48*MAX(0,(MIN($G48,DATE(2026,11,30))-MAX($E48,DATE(2026,11,1))+1))/$O48</f>
        <v>0</v>
      </c>
      <c r="V48" s="16" t="n">
        <f aca="false">$N48*MAX(0,(MIN($G48,DATE(2026,12,31))-MAX($E48,DATE(2026,12,1))+1))/$O48</f>
        <v>0</v>
      </c>
      <c r="W48" s="17" t="n">
        <f aca="false">$H48*MAX(0,(MIN($G48,DATE(2026,7,31))-MAX($E48,DATE(2026,7,1))+1))/30.4</f>
        <v>0.3125</v>
      </c>
      <c r="X48" s="17" t="n">
        <f aca="false">$H48*MAX(0,(MIN($G48,DATE(2026,8,31))-MAX($E48,DATE(2026,8,1))+1))/30.4</f>
        <v>0.394736842105263</v>
      </c>
      <c r="Y48" s="17" t="n">
        <f aca="false">$H48*MAX(0,(MIN($G48,DATE(2026,9,30))-MAX($E48,DATE(2026,9,1))+1))/30.4</f>
        <v>0</v>
      </c>
      <c r="Z48" s="17" t="n">
        <f aca="false">$H48*MAX(0,(MIN($G48,DATE(2026,10,31))-MAX($E48,DATE(2026,10,1))+1))/30.4</f>
        <v>0</v>
      </c>
      <c r="AA48" s="17" t="n">
        <f aca="false">$H48*MAX(0,(MIN($G48,DATE(2026,11,30))-MAX($E48,DATE(2026,11,1))+1))/30.4</f>
        <v>0</v>
      </c>
      <c r="AB48" s="17" t="n">
        <f aca="false">$H48*MAX(0,(MIN($G48,DATE(2026,12,31))-MAX($E48,DATE(2026,12,1))+1))/30.4</f>
        <v>0</v>
      </c>
    </row>
    <row r="49" customFormat="false" ht="15" hidden="false" customHeight="false" outlineLevel="0" collapsed="false">
      <c r="A49" s="10" t="n">
        <v>9</v>
      </c>
      <c r="B49" s="10" t="n">
        <v>2</v>
      </c>
      <c r="C49" s="10" t="s">
        <v>122</v>
      </c>
      <c r="D49" s="10" t="s">
        <v>71</v>
      </c>
      <c r="E49" s="12" t="n">
        <v>46216</v>
      </c>
      <c r="F49" s="10" t="n">
        <v>6</v>
      </c>
      <c r="G49" s="12" t="n">
        <v>46258</v>
      </c>
      <c r="H49" s="13" t="n">
        <v>1</v>
      </c>
      <c r="I49" s="10" t="s">
        <v>113</v>
      </c>
      <c r="J49" s="14" t="str">
        <f aca="false">IFERROR(VLOOKUP(D49,Role_Mapping!$A$5:$D$31,2,FALSE()),"UNMAPPED")</f>
        <v>Senior Associate Consultant</v>
      </c>
      <c r="K49" s="14" t="str">
        <f aca="false">IFERROR(VLOOKUP(D49,Role_Mapping!$A$5:$D$31,3,FALSE()),"IN")</f>
        <v>IN</v>
      </c>
      <c r="L49" s="15" t="n">
        <f aca="false">IFERROR(SUMPRODUCT((Rate_Card!$A$5:$A$34=J49)*(Rate_Card!$B$5:$B$34=K49)*Rate_Card!$C$5:$C$34),0)</f>
        <v>683</v>
      </c>
      <c r="M49" s="10" t="n">
        <f aca="false">F49*5</f>
        <v>30</v>
      </c>
      <c r="N49" s="16" t="n">
        <f aca="false">L49*M49*H49</f>
        <v>20490</v>
      </c>
      <c r="O49" s="10" t="n">
        <f aca="false">(G49-E49)+1</f>
        <v>43</v>
      </c>
      <c r="P49" s="14" t="str">
        <f aca="false">IFERROR(VLOOKUP(D49,Role_Mapping!$A$5:$D$31,4,FALSE()),"UNMAPPED")</f>
        <v>Consulting</v>
      </c>
      <c r="Q49" s="16" t="n">
        <f aca="false">$N49*MAX(0,(MIN($G49,DATE(2026,7,31))-MAX($E49,DATE(2026,7,1))+1))/$O49</f>
        <v>9053.72093023256</v>
      </c>
      <c r="R49" s="16" t="n">
        <f aca="false">$N49*MAX(0,(MIN($G49,DATE(2026,8,31))-MAX($E49,DATE(2026,8,1))+1))/$O49</f>
        <v>11436.2790697674</v>
      </c>
      <c r="S49" s="16" t="n">
        <f aca="false">$N49*MAX(0,(MIN($G49,DATE(2026,9,30))-MAX($E49,DATE(2026,9,1))+1))/$O49</f>
        <v>0</v>
      </c>
      <c r="T49" s="16" t="n">
        <f aca="false">$N49*MAX(0,(MIN($G49,DATE(2026,10,31))-MAX($E49,DATE(2026,10,1))+1))/$O49</f>
        <v>0</v>
      </c>
      <c r="U49" s="16" t="n">
        <f aca="false">$N49*MAX(0,(MIN($G49,DATE(2026,11,30))-MAX($E49,DATE(2026,11,1))+1))/$O49</f>
        <v>0</v>
      </c>
      <c r="V49" s="16" t="n">
        <f aca="false">$N49*MAX(0,(MIN($G49,DATE(2026,12,31))-MAX($E49,DATE(2026,12,1))+1))/$O49</f>
        <v>0</v>
      </c>
      <c r="W49" s="17" t="n">
        <f aca="false">$H49*MAX(0,(MIN($G49,DATE(2026,7,31))-MAX($E49,DATE(2026,7,1))+1))/30.4</f>
        <v>0.625</v>
      </c>
      <c r="X49" s="17" t="n">
        <f aca="false">$H49*MAX(0,(MIN($G49,DATE(2026,8,31))-MAX($E49,DATE(2026,8,1))+1))/30.4</f>
        <v>0.789473684210526</v>
      </c>
      <c r="Y49" s="17" t="n">
        <f aca="false">$H49*MAX(0,(MIN($G49,DATE(2026,9,30))-MAX($E49,DATE(2026,9,1))+1))/30.4</f>
        <v>0</v>
      </c>
      <c r="Z49" s="17" t="n">
        <f aca="false">$H49*MAX(0,(MIN($G49,DATE(2026,10,31))-MAX($E49,DATE(2026,10,1))+1))/30.4</f>
        <v>0</v>
      </c>
      <c r="AA49" s="17" t="n">
        <f aca="false">$H49*MAX(0,(MIN($G49,DATE(2026,11,30))-MAX($E49,DATE(2026,11,1))+1))/30.4</f>
        <v>0</v>
      </c>
      <c r="AB49" s="17" t="n">
        <f aca="false">$H49*MAX(0,(MIN($G49,DATE(2026,12,31))-MAX($E49,DATE(2026,12,1))+1))/30.4</f>
        <v>0</v>
      </c>
    </row>
    <row r="50" customFormat="false" ht="15" hidden="false" customHeight="false" outlineLevel="0" collapsed="false">
      <c r="A50" s="10" t="n">
        <v>9</v>
      </c>
      <c r="B50" s="10" t="n">
        <v>2</v>
      </c>
      <c r="C50" s="10" t="s">
        <v>122</v>
      </c>
      <c r="D50" s="10" t="s">
        <v>64</v>
      </c>
      <c r="E50" s="12" t="n">
        <v>46216</v>
      </c>
      <c r="F50" s="10" t="n">
        <v>6</v>
      </c>
      <c r="G50" s="12" t="n">
        <v>46258</v>
      </c>
      <c r="H50" s="13" t="n">
        <v>0.25</v>
      </c>
      <c r="I50" s="10" t="s">
        <v>113</v>
      </c>
      <c r="J50" s="14" t="str">
        <f aca="false">IFERROR(VLOOKUP(D50,Role_Mapping!$A$5:$D$31,2,FALSE()),"UNMAPPED")</f>
        <v>Principal Technology Architect</v>
      </c>
      <c r="K50" s="14" t="str">
        <f aca="false">IFERROR(VLOOKUP(D50,Role_Mapping!$A$5:$D$31,3,FALSE()),"IN")</f>
        <v>IN</v>
      </c>
      <c r="L50" s="15" t="n">
        <f aca="false">IFERROR(SUMPRODUCT((Rate_Card!$A$5:$A$34=J50)*(Rate_Card!$B$5:$B$34=K50)*Rate_Card!$C$5:$C$34),0)</f>
        <v>845</v>
      </c>
      <c r="M50" s="10" t="n">
        <f aca="false">F50*5</f>
        <v>30</v>
      </c>
      <c r="N50" s="16" t="n">
        <f aca="false">L50*M50*H50</f>
        <v>6337.5</v>
      </c>
      <c r="O50" s="10" t="n">
        <f aca="false">(G50-E50)+1</f>
        <v>43</v>
      </c>
      <c r="P50" s="14" t="str">
        <f aca="false">IFERROR(VLOOKUP(D50,Role_Mapping!$A$5:$D$31,4,FALSE()),"UNMAPPED")</f>
        <v>Full Stack</v>
      </c>
      <c r="Q50" s="16" t="n">
        <f aca="false">$N50*MAX(0,(MIN($G50,DATE(2026,7,31))-MAX($E50,DATE(2026,7,1))+1))/$O50</f>
        <v>2800.29069767442</v>
      </c>
      <c r="R50" s="16" t="n">
        <f aca="false">$N50*MAX(0,(MIN($G50,DATE(2026,8,31))-MAX($E50,DATE(2026,8,1))+1))/$O50</f>
        <v>3537.20930232558</v>
      </c>
      <c r="S50" s="16" t="n">
        <f aca="false">$N50*MAX(0,(MIN($G50,DATE(2026,9,30))-MAX($E50,DATE(2026,9,1))+1))/$O50</f>
        <v>0</v>
      </c>
      <c r="T50" s="16" t="n">
        <f aca="false">$N50*MAX(0,(MIN($G50,DATE(2026,10,31))-MAX($E50,DATE(2026,10,1))+1))/$O50</f>
        <v>0</v>
      </c>
      <c r="U50" s="16" t="n">
        <f aca="false">$N50*MAX(0,(MIN($G50,DATE(2026,11,30))-MAX($E50,DATE(2026,11,1))+1))/$O50</f>
        <v>0</v>
      </c>
      <c r="V50" s="16" t="n">
        <f aca="false">$N50*MAX(0,(MIN($G50,DATE(2026,12,31))-MAX($E50,DATE(2026,12,1))+1))/$O50</f>
        <v>0</v>
      </c>
      <c r="W50" s="17" t="n">
        <f aca="false">$H50*MAX(0,(MIN($G50,DATE(2026,7,31))-MAX($E50,DATE(2026,7,1))+1))/30.4</f>
        <v>0.15625</v>
      </c>
      <c r="X50" s="17" t="n">
        <f aca="false">$H50*MAX(0,(MIN($G50,DATE(2026,8,31))-MAX($E50,DATE(2026,8,1))+1))/30.4</f>
        <v>0.197368421052632</v>
      </c>
      <c r="Y50" s="17" t="n">
        <f aca="false">$H50*MAX(0,(MIN($G50,DATE(2026,9,30))-MAX($E50,DATE(2026,9,1))+1))/30.4</f>
        <v>0</v>
      </c>
      <c r="Z50" s="17" t="n">
        <f aca="false">$H50*MAX(0,(MIN($G50,DATE(2026,10,31))-MAX($E50,DATE(2026,10,1))+1))/30.4</f>
        <v>0</v>
      </c>
      <c r="AA50" s="17" t="n">
        <f aca="false">$H50*MAX(0,(MIN($G50,DATE(2026,11,30))-MAX($E50,DATE(2026,11,1))+1))/30.4</f>
        <v>0</v>
      </c>
      <c r="AB50" s="17" t="n">
        <f aca="false">$H50*MAX(0,(MIN($G50,DATE(2026,12,31))-MAX($E50,DATE(2026,12,1))+1))/30.4</f>
        <v>0</v>
      </c>
    </row>
    <row r="51" customFormat="false" ht="15" hidden="false" customHeight="false" outlineLevel="0" collapsed="false">
      <c r="A51" s="10" t="n">
        <v>9</v>
      </c>
      <c r="B51" s="10" t="n">
        <v>2</v>
      </c>
      <c r="C51" s="10" t="s">
        <v>122</v>
      </c>
      <c r="D51" s="10" t="s">
        <v>58</v>
      </c>
      <c r="E51" s="12" t="n">
        <v>46216</v>
      </c>
      <c r="F51" s="10" t="n">
        <v>6</v>
      </c>
      <c r="G51" s="12" t="n">
        <v>46258</v>
      </c>
      <c r="H51" s="13" t="n">
        <v>1</v>
      </c>
      <c r="I51" s="10" t="s">
        <v>113</v>
      </c>
      <c r="J51" s="14" t="str">
        <f aca="false">IFERROR(VLOOKUP(D51,Role_Mapping!$A$5:$D$31,2,FALSE()),"UNMAPPED")</f>
        <v>Solutions Enabler</v>
      </c>
      <c r="K51" s="14" t="str">
        <f aca="false">IFERROR(VLOOKUP(D51,Role_Mapping!$A$5:$D$31,3,FALSE()),"IN")</f>
        <v>IN</v>
      </c>
      <c r="L51" s="15" t="n">
        <f aca="false">IFERROR(SUMPRODUCT((Rate_Card!$A$5:$A$34=J51)*(Rate_Card!$B$5:$B$34=K51)*Rate_Card!$C$5:$C$34),0)</f>
        <v>683</v>
      </c>
      <c r="M51" s="10" t="n">
        <f aca="false">F51*5</f>
        <v>30</v>
      </c>
      <c r="N51" s="16" t="n">
        <f aca="false">L51*M51*H51</f>
        <v>20490</v>
      </c>
      <c r="O51" s="10" t="n">
        <f aca="false">(G51-E51)+1</f>
        <v>43</v>
      </c>
      <c r="P51" s="14" t="str">
        <f aca="false">IFERROR(VLOOKUP(D51,Role_Mapping!$A$5:$D$31,4,FALSE()),"UNMAPPED")</f>
        <v>Data Engineering</v>
      </c>
      <c r="Q51" s="16" t="n">
        <f aca="false">$N51*MAX(0,(MIN($G51,DATE(2026,7,31))-MAX($E51,DATE(2026,7,1))+1))/$O51</f>
        <v>9053.72093023256</v>
      </c>
      <c r="R51" s="16" t="n">
        <f aca="false">$N51*MAX(0,(MIN($G51,DATE(2026,8,31))-MAX($E51,DATE(2026,8,1))+1))/$O51</f>
        <v>11436.2790697674</v>
      </c>
      <c r="S51" s="16" t="n">
        <f aca="false">$N51*MAX(0,(MIN($G51,DATE(2026,9,30))-MAX($E51,DATE(2026,9,1))+1))/$O51</f>
        <v>0</v>
      </c>
      <c r="T51" s="16" t="n">
        <f aca="false">$N51*MAX(0,(MIN($G51,DATE(2026,10,31))-MAX($E51,DATE(2026,10,1))+1))/$O51</f>
        <v>0</v>
      </c>
      <c r="U51" s="16" t="n">
        <f aca="false">$N51*MAX(0,(MIN($G51,DATE(2026,11,30))-MAX($E51,DATE(2026,11,1))+1))/$O51</f>
        <v>0</v>
      </c>
      <c r="V51" s="16" t="n">
        <f aca="false">$N51*MAX(0,(MIN($G51,DATE(2026,12,31))-MAX($E51,DATE(2026,12,1))+1))/$O51</f>
        <v>0</v>
      </c>
      <c r="W51" s="17" t="n">
        <f aca="false">$H51*MAX(0,(MIN($G51,DATE(2026,7,31))-MAX($E51,DATE(2026,7,1))+1))/30.4</f>
        <v>0.625</v>
      </c>
      <c r="X51" s="17" t="n">
        <f aca="false">$H51*MAX(0,(MIN($G51,DATE(2026,8,31))-MAX($E51,DATE(2026,8,1))+1))/30.4</f>
        <v>0.789473684210526</v>
      </c>
      <c r="Y51" s="17" t="n">
        <f aca="false">$H51*MAX(0,(MIN($G51,DATE(2026,9,30))-MAX($E51,DATE(2026,9,1))+1))/30.4</f>
        <v>0</v>
      </c>
      <c r="Z51" s="17" t="n">
        <f aca="false">$H51*MAX(0,(MIN($G51,DATE(2026,10,31))-MAX($E51,DATE(2026,10,1))+1))/30.4</f>
        <v>0</v>
      </c>
      <c r="AA51" s="17" t="n">
        <f aca="false">$H51*MAX(0,(MIN($G51,DATE(2026,11,30))-MAX($E51,DATE(2026,11,1))+1))/30.4</f>
        <v>0</v>
      </c>
      <c r="AB51" s="17" t="n">
        <f aca="false">$H51*MAX(0,(MIN($G51,DATE(2026,12,31))-MAX($E51,DATE(2026,12,1))+1))/30.4</f>
        <v>0</v>
      </c>
    </row>
    <row r="52" customFormat="false" ht="15" hidden="false" customHeight="false" outlineLevel="0" collapsed="false">
      <c r="A52" s="10" t="n">
        <v>9</v>
      </c>
      <c r="B52" s="10" t="n">
        <v>2</v>
      </c>
      <c r="C52" s="10" t="s">
        <v>122</v>
      </c>
      <c r="D52" s="10" t="s">
        <v>76</v>
      </c>
      <c r="E52" s="12" t="n">
        <v>46216</v>
      </c>
      <c r="F52" s="10" t="n">
        <v>6</v>
      </c>
      <c r="G52" s="12" t="n">
        <v>46258</v>
      </c>
      <c r="H52" s="13" t="n">
        <v>1</v>
      </c>
      <c r="I52" s="10" t="s">
        <v>113</v>
      </c>
      <c r="J52" s="14" t="str">
        <f aca="false">IFERROR(VLOOKUP(D52,Role_Mapping!$A$5:$D$31,2,FALSE()),"UNMAPPED")</f>
        <v>Senior Software Engineer</v>
      </c>
      <c r="K52" s="14" t="str">
        <f aca="false">IFERROR(VLOOKUP(D52,Role_Mapping!$A$5:$D$31,3,FALSE()),"IN")</f>
        <v>IN</v>
      </c>
      <c r="L52" s="15" t="n">
        <f aca="false">IFERROR(SUMPRODUCT((Rate_Card!$A$5:$A$34=J52)*(Rate_Card!$B$5:$B$34=K52)*Rate_Card!$C$5:$C$34),0)</f>
        <v>585</v>
      </c>
      <c r="M52" s="10" t="n">
        <f aca="false">F52*5</f>
        <v>30</v>
      </c>
      <c r="N52" s="16" t="n">
        <f aca="false">L52*M52*H52</f>
        <v>17550</v>
      </c>
      <c r="O52" s="10" t="n">
        <f aca="false">(G52-E52)+1</f>
        <v>43</v>
      </c>
      <c r="P52" s="14" t="str">
        <f aca="false">IFERROR(VLOOKUP(D52,Role_Mapping!$A$5:$D$31,4,FALSE()),"UNMAPPED")</f>
        <v>Full Stack</v>
      </c>
      <c r="Q52" s="16" t="n">
        <f aca="false">$N52*MAX(0,(MIN($G52,DATE(2026,7,31))-MAX($E52,DATE(2026,7,1))+1))/$O52</f>
        <v>7754.6511627907</v>
      </c>
      <c r="R52" s="16" t="n">
        <f aca="false">$N52*MAX(0,(MIN($G52,DATE(2026,8,31))-MAX($E52,DATE(2026,8,1))+1))/$O52</f>
        <v>9795.3488372093</v>
      </c>
      <c r="S52" s="16" t="n">
        <f aca="false">$N52*MAX(0,(MIN($G52,DATE(2026,9,30))-MAX($E52,DATE(2026,9,1))+1))/$O52</f>
        <v>0</v>
      </c>
      <c r="T52" s="16" t="n">
        <f aca="false">$N52*MAX(0,(MIN($G52,DATE(2026,10,31))-MAX($E52,DATE(2026,10,1))+1))/$O52</f>
        <v>0</v>
      </c>
      <c r="U52" s="16" t="n">
        <f aca="false">$N52*MAX(0,(MIN($G52,DATE(2026,11,30))-MAX($E52,DATE(2026,11,1))+1))/$O52</f>
        <v>0</v>
      </c>
      <c r="V52" s="16" t="n">
        <f aca="false">$N52*MAX(0,(MIN($G52,DATE(2026,12,31))-MAX($E52,DATE(2026,12,1))+1))/$O52</f>
        <v>0</v>
      </c>
      <c r="W52" s="17" t="n">
        <f aca="false">$H52*MAX(0,(MIN($G52,DATE(2026,7,31))-MAX($E52,DATE(2026,7,1))+1))/30.4</f>
        <v>0.625</v>
      </c>
      <c r="X52" s="17" t="n">
        <f aca="false">$H52*MAX(0,(MIN($G52,DATE(2026,8,31))-MAX($E52,DATE(2026,8,1))+1))/30.4</f>
        <v>0.789473684210526</v>
      </c>
      <c r="Y52" s="17" t="n">
        <f aca="false">$H52*MAX(0,(MIN($G52,DATE(2026,9,30))-MAX($E52,DATE(2026,9,1))+1))/30.4</f>
        <v>0</v>
      </c>
      <c r="Z52" s="17" t="n">
        <f aca="false">$H52*MAX(0,(MIN($G52,DATE(2026,10,31))-MAX($E52,DATE(2026,10,1))+1))/30.4</f>
        <v>0</v>
      </c>
      <c r="AA52" s="17" t="n">
        <f aca="false">$H52*MAX(0,(MIN($G52,DATE(2026,11,30))-MAX($E52,DATE(2026,11,1))+1))/30.4</f>
        <v>0</v>
      </c>
      <c r="AB52" s="17" t="n">
        <f aca="false">$H52*MAX(0,(MIN($G52,DATE(2026,12,31))-MAX($E52,DATE(2026,12,1))+1))/30.4</f>
        <v>0</v>
      </c>
    </row>
    <row r="53" customFormat="false" ht="15" hidden="false" customHeight="false" outlineLevel="0" collapsed="false">
      <c r="A53" s="10" t="n">
        <v>9</v>
      </c>
      <c r="B53" s="10" t="n">
        <v>2</v>
      </c>
      <c r="C53" s="10" t="s">
        <v>122</v>
      </c>
      <c r="D53" s="10" t="s">
        <v>76</v>
      </c>
      <c r="E53" s="12" t="n">
        <v>46216</v>
      </c>
      <c r="F53" s="10" t="n">
        <v>6</v>
      </c>
      <c r="G53" s="12" t="n">
        <v>46258</v>
      </c>
      <c r="H53" s="13" t="n">
        <v>1</v>
      </c>
      <c r="I53" s="10" t="s">
        <v>123</v>
      </c>
      <c r="J53" s="14" t="str">
        <f aca="false">IFERROR(VLOOKUP(D53,Role_Mapping!$A$5:$D$31,2,FALSE()),"UNMAPPED")</f>
        <v>Senior Software Engineer</v>
      </c>
      <c r="K53" s="14" t="str">
        <f aca="false">IFERROR(VLOOKUP(D53,Role_Mapping!$A$5:$D$31,3,FALSE()),"IN")</f>
        <v>IN</v>
      </c>
      <c r="L53" s="15" t="n">
        <f aca="false">IFERROR(SUMPRODUCT((Rate_Card!$A$5:$A$34=J53)*(Rate_Card!$B$5:$B$34=K53)*Rate_Card!$C$5:$C$34),0)</f>
        <v>585</v>
      </c>
      <c r="M53" s="10" t="n">
        <f aca="false">F53*5</f>
        <v>30</v>
      </c>
      <c r="N53" s="16" t="n">
        <f aca="false">L53*M53*H53</f>
        <v>17550</v>
      </c>
      <c r="O53" s="10" t="n">
        <f aca="false">(G53-E53)+1</f>
        <v>43</v>
      </c>
      <c r="P53" s="14" t="str">
        <f aca="false">IFERROR(VLOOKUP(D53,Role_Mapping!$A$5:$D$31,4,FALSE()),"UNMAPPED")</f>
        <v>Full Stack</v>
      </c>
      <c r="Q53" s="16" t="n">
        <f aca="false">$N53*MAX(0,(MIN($G53,DATE(2026,7,31))-MAX($E53,DATE(2026,7,1))+1))/$O53</f>
        <v>7754.6511627907</v>
      </c>
      <c r="R53" s="16" t="n">
        <f aca="false">$N53*MAX(0,(MIN($G53,DATE(2026,8,31))-MAX($E53,DATE(2026,8,1))+1))/$O53</f>
        <v>9795.3488372093</v>
      </c>
      <c r="S53" s="16" t="n">
        <f aca="false">$N53*MAX(0,(MIN($G53,DATE(2026,9,30))-MAX($E53,DATE(2026,9,1))+1))/$O53</f>
        <v>0</v>
      </c>
      <c r="T53" s="16" t="n">
        <f aca="false">$N53*MAX(0,(MIN($G53,DATE(2026,10,31))-MAX($E53,DATE(2026,10,1))+1))/$O53</f>
        <v>0</v>
      </c>
      <c r="U53" s="16" t="n">
        <f aca="false">$N53*MAX(0,(MIN($G53,DATE(2026,11,30))-MAX($E53,DATE(2026,11,1))+1))/$O53</f>
        <v>0</v>
      </c>
      <c r="V53" s="16" t="n">
        <f aca="false">$N53*MAX(0,(MIN($G53,DATE(2026,12,31))-MAX($E53,DATE(2026,12,1))+1))/$O53</f>
        <v>0</v>
      </c>
      <c r="W53" s="17" t="n">
        <f aca="false">$H53*MAX(0,(MIN($G53,DATE(2026,7,31))-MAX($E53,DATE(2026,7,1))+1))/30.4</f>
        <v>0.625</v>
      </c>
      <c r="X53" s="17" t="n">
        <f aca="false">$H53*MAX(0,(MIN($G53,DATE(2026,8,31))-MAX($E53,DATE(2026,8,1))+1))/30.4</f>
        <v>0.789473684210526</v>
      </c>
      <c r="Y53" s="17" t="n">
        <f aca="false">$H53*MAX(0,(MIN($G53,DATE(2026,9,30))-MAX($E53,DATE(2026,9,1))+1))/30.4</f>
        <v>0</v>
      </c>
      <c r="Z53" s="17" t="n">
        <f aca="false">$H53*MAX(0,(MIN($G53,DATE(2026,10,31))-MAX($E53,DATE(2026,10,1))+1))/30.4</f>
        <v>0</v>
      </c>
      <c r="AA53" s="17" t="n">
        <f aca="false">$H53*MAX(0,(MIN($G53,DATE(2026,11,30))-MAX($E53,DATE(2026,11,1))+1))/30.4</f>
        <v>0</v>
      </c>
      <c r="AB53" s="17" t="n">
        <f aca="false">$H53*MAX(0,(MIN($G53,DATE(2026,12,31))-MAX($E53,DATE(2026,12,1))+1))/30.4</f>
        <v>0</v>
      </c>
    </row>
    <row r="54" customFormat="false" ht="15" hidden="false" customHeight="false" outlineLevel="0" collapsed="false">
      <c r="A54" s="10" t="n">
        <v>9</v>
      </c>
      <c r="B54" s="10" t="n">
        <v>2</v>
      </c>
      <c r="C54" s="10" t="s">
        <v>122</v>
      </c>
      <c r="D54" s="10" t="s">
        <v>75</v>
      </c>
      <c r="E54" s="12" t="n">
        <v>46216</v>
      </c>
      <c r="F54" s="10" t="n">
        <v>6</v>
      </c>
      <c r="G54" s="12" t="n">
        <v>46258</v>
      </c>
      <c r="H54" s="13" t="n">
        <v>1</v>
      </c>
      <c r="I54" s="10" t="s">
        <v>113</v>
      </c>
      <c r="J54" s="14" t="str">
        <f aca="false">IFERROR(VLOOKUP(D54,Role_Mapping!$A$5:$D$31,2,FALSE()),"UNMAPPED")</f>
        <v>Software Engineer</v>
      </c>
      <c r="K54" s="14" t="str">
        <f aca="false">IFERROR(VLOOKUP(D54,Role_Mapping!$A$5:$D$31,3,FALSE()),"IN")</f>
        <v>IN</v>
      </c>
      <c r="L54" s="15" t="n">
        <f aca="false">IFERROR(SUMPRODUCT((Rate_Card!$A$5:$A$34=J54)*(Rate_Card!$B$5:$B$34=K54)*Rate_Card!$C$5:$C$34),0)</f>
        <v>455</v>
      </c>
      <c r="M54" s="10" t="n">
        <f aca="false">F54*5</f>
        <v>30</v>
      </c>
      <c r="N54" s="16" t="n">
        <f aca="false">L54*M54*H54</f>
        <v>13650</v>
      </c>
      <c r="O54" s="10" t="n">
        <f aca="false">(G54-E54)+1</f>
        <v>43</v>
      </c>
      <c r="P54" s="14" t="str">
        <f aca="false">IFERROR(VLOOKUP(D54,Role_Mapping!$A$5:$D$31,4,FALSE()),"UNMAPPED")</f>
        <v>Full Stack</v>
      </c>
      <c r="Q54" s="16" t="n">
        <f aca="false">$N54*MAX(0,(MIN($G54,DATE(2026,7,31))-MAX($E54,DATE(2026,7,1))+1))/$O54</f>
        <v>6031.39534883721</v>
      </c>
      <c r="R54" s="16" t="n">
        <f aca="false">$N54*MAX(0,(MIN($G54,DATE(2026,8,31))-MAX($E54,DATE(2026,8,1))+1))/$O54</f>
        <v>7618.60465116279</v>
      </c>
      <c r="S54" s="16" t="n">
        <f aca="false">$N54*MAX(0,(MIN($G54,DATE(2026,9,30))-MAX($E54,DATE(2026,9,1))+1))/$O54</f>
        <v>0</v>
      </c>
      <c r="T54" s="16" t="n">
        <f aca="false">$N54*MAX(0,(MIN($G54,DATE(2026,10,31))-MAX($E54,DATE(2026,10,1))+1))/$O54</f>
        <v>0</v>
      </c>
      <c r="U54" s="16" t="n">
        <f aca="false">$N54*MAX(0,(MIN($G54,DATE(2026,11,30))-MAX($E54,DATE(2026,11,1))+1))/$O54</f>
        <v>0</v>
      </c>
      <c r="V54" s="16" t="n">
        <f aca="false">$N54*MAX(0,(MIN($G54,DATE(2026,12,31))-MAX($E54,DATE(2026,12,1))+1))/$O54</f>
        <v>0</v>
      </c>
      <c r="W54" s="17" t="n">
        <f aca="false">$H54*MAX(0,(MIN($G54,DATE(2026,7,31))-MAX($E54,DATE(2026,7,1))+1))/30.4</f>
        <v>0.625</v>
      </c>
      <c r="X54" s="17" t="n">
        <f aca="false">$H54*MAX(0,(MIN($G54,DATE(2026,8,31))-MAX($E54,DATE(2026,8,1))+1))/30.4</f>
        <v>0.789473684210526</v>
      </c>
      <c r="Y54" s="17" t="n">
        <f aca="false">$H54*MAX(0,(MIN($G54,DATE(2026,9,30))-MAX($E54,DATE(2026,9,1))+1))/30.4</f>
        <v>0</v>
      </c>
      <c r="Z54" s="17" t="n">
        <f aca="false">$H54*MAX(0,(MIN($G54,DATE(2026,10,31))-MAX($E54,DATE(2026,10,1))+1))/30.4</f>
        <v>0</v>
      </c>
      <c r="AA54" s="17" t="n">
        <f aca="false">$H54*MAX(0,(MIN($G54,DATE(2026,11,30))-MAX($E54,DATE(2026,11,1))+1))/30.4</f>
        <v>0</v>
      </c>
      <c r="AB54" s="17" t="n">
        <f aca="false">$H54*MAX(0,(MIN($G54,DATE(2026,12,31))-MAX($E54,DATE(2026,12,1))+1))/30.4</f>
        <v>0</v>
      </c>
    </row>
    <row r="55" customFormat="false" ht="15" hidden="false" customHeight="false" outlineLevel="0" collapsed="false">
      <c r="A55" s="10" t="n">
        <v>10</v>
      </c>
      <c r="B55" s="10" t="n">
        <v>4</v>
      </c>
      <c r="C55" s="10" t="s">
        <v>124</v>
      </c>
      <c r="D55" s="10" t="s">
        <v>49</v>
      </c>
      <c r="E55" s="12" t="n">
        <v>46209</v>
      </c>
      <c r="F55" s="10" t="n">
        <v>4</v>
      </c>
      <c r="G55" s="12" t="n">
        <v>46237</v>
      </c>
      <c r="H55" s="13" t="n">
        <v>0.125</v>
      </c>
      <c r="I55" s="10" t="s">
        <v>113</v>
      </c>
      <c r="J55" s="14" t="str">
        <f aca="false">IFERROR(VLOOKUP(D55,Role_Mapping!$A$5:$D$31,2,FALSE()),"UNMAPPED")</f>
        <v>Associate Partner</v>
      </c>
      <c r="K55" s="14" t="str">
        <f aca="false">IFERROR(VLOOKUP(D55,Role_Mapping!$A$5:$D$31,3,FALSE()),"IN")</f>
        <v>UK</v>
      </c>
      <c r="L55" s="15" t="n">
        <f aca="false">IFERROR(SUMPRODUCT((Rate_Card!$A$5:$A$34=J55)*(Rate_Card!$B$5:$B$34=K55)*Rate_Card!$C$5:$C$34),0)</f>
        <v>3526</v>
      </c>
      <c r="M55" s="10" t="n">
        <f aca="false">F55*5</f>
        <v>20</v>
      </c>
      <c r="N55" s="16" t="n">
        <f aca="false">L55*M55*H55</f>
        <v>8815</v>
      </c>
      <c r="O55" s="10" t="n">
        <f aca="false">(G55-E55)+1</f>
        <v>29</v>
      </c>
      <c r="P55" s="14" t="str">
        <f aca="false">IFERROR(VLOOKUP(D55,Role_Mapping!$A$5:$D$31,4,FALSE()),"UNMAPPED")</f>
        <v>GTM</v>
      </c>
      <c r="Q55" s="16" t="n">
        <f aca="false">$N55*MAX(0,(MIN($G55,DATE(2026,7,31))-MAX($E55,DATE(2026,7,1))+1))/$O55</f>
        <v>7903.10344827586</v>
      </c>
      <c r="R55" s="16" t="n">
        <f aca="false">$N55*MAX(0,(MIN($G55,DATE(2026,8,31))-MAX($E55,DATE(2026,8,1))+1))/$O55</f>
        <v>911.896551724138</v>
      </c>
      <c r="S55" s="16" t="n">
        <f aca="false">$N55*MAX(0,(MIN($G55,DATE(2026,9,30))-MAX($E55,DATE(2026,9,1))+1))/$O55</f>
        <v>0</v>
      </c>
      <c r="T55" s="16" t="n">
        <f aca="false">$N55*MAX(0,(MIN($G55,DATE(2026,10,31))-MAX($E55,DATE(2026,10,1))+1))/$O55</f>
        <v>0</v>
      </c>
      <c r="U55" s="16" t="n">
        <f aca="false">$N55*MAX(0,(MIN($G55,DATE(2026,11,30))-MAX($E55,DATE(2026,11,1))+1))/$O55</f>
        <v>0</v>
      </c>
      <c r="V55" s="16" t="n">
        <f aca="false">$N55*MAX(0,(MIN($G55,DATE(2026,12,31))-MAX($E55,DATE(2026,12,1))+1))/$O55</f>
        <v>0</v>
      </c>
      <c r="W55" s="17" t="n">
        <f aca="false">$H55*MAX(0,(MIN($G55,DATE(2026,7,31))-MAX($E55,DATE(2026,7,1))+1))/30.4</f>
        <v>0.106907894736842</v>
      </c>
      <c r="X55" s="17" t="n">
        <f aca="false">$H55*MAX(0,(MIN($G55,DATE(2026,8,31))-MAX($E55,DATE(2026,8,1))+1))/30.4</f>
        <v>0.0123355263157895</v>
      </c>
      <c r="Y55" s="17" t="n">
        <f aca="false">$H55*MAX(0,(MIN($G55,DATE(2026,9,30))-MAX($E55,DATE(2026,9,1))+1))/30.4</f>
        <v>0</v>
      </c>
      <c r="Z55" s="17" t="n">
        <f aca="false">$H55*MAX(0,(MIN($G55,DATE(2026,10,31))-MAX($E55,DATE(2026,10,1))+1))/30.4</f>
        <v>0</v>
      </c>
      <c r="AA55" s="17" t="n">
        <f aca="false">$H55*MAX(0,(MIN($G55,DATE(2026,11,30))-MAX($E55,DATE(2026,11,1))+1))/30.4</f>
        <v>0</v>
      </c>
      <c r="AB55" s="17" t="n">
        <f aca="false">$H55*MAX(0,(MIN($G55,DATE(2026,12,31))-MAX($E55,DATE(2026,12,1))+1))/30.4</f>
        <v>0</v>
      </c>
    </row>
    <row r="56" customFormat="false" ht="15" hidden="false" customHeight="false" outlineLevel="0" collapsed="false">
      <c r="A56" s="10" t="n">
        <v>10</v>
      </c>
      <c r="B56" s="10" t="n">
        <v>4</v>
      </c>
      <c r="C56" s="10" t="s">
        <v>124</v>
      </c>
      <c r="D56" s="10" t="s">
        <v>62</v>
      </c>
      <c r="E56" s="12" t="n">
        <v>46209</v>
      </c>
      <c r="F56" s="10" t="n">
        <v>4</v>
      </c>
      <c r="G56" s="12" t="n">
        <v>46237</v>
      </c>
      <c r="H56" s="13" t="n">
        <v>0.375</v>
      </c>
      <c r="I56" s="10" t="s">
        <v>113</v>
      </c>
      <c r="J56" s="14" t="str">
        <f aca="false">IFERROR(VLOOKUP(D56,Role_Mapping!$A$5:$D$31,2,FALSE()),"UNMAPPED")</f>
        <v>Associate Partner</v>
      </c>
      <c r="K56" s="14" t="str">
        <f aca="false">IFERROR(VLOOKUP(D56,Role_Mapping!$A$5:$D$31,3,FALSE()),"IN")</f>
        <v>UK</v>
      </c>
      <c r="L56" s="15" t="n">
        <f aca="false">IFERROR(SUMPRODUCT((Rate_Card!$A$5:$A$34=J56)*(Rate_Card!$B$5:$B$34=K56)*Rate_Card!$C$5:$C$34),0)</f>
        <v>3526</v>
      </c>
      <c r="M56" s="10" t="n">
        <f aca="false">F56*5</f>
        <v>20</v>
      </c>
      <c r="N56" s="16" t="n">
        <f aca="false">L56*M56*H56</f>
        <v>26445</v>
      </c>
      <c r="O56" s="10" t="n">
        <f aca="false">(G56-E56)+1</f>
        <v>29</v>
      </c>
      <c r="P56" s="14" t="str">
        <f aca="false">IFERROR(VLOOKUP(D56,Role_Mapping!$A$5:$D$31,4,FALSE()),"UNMAPPED")</f>
        <v>GTM</v>
      </c>
      <c r="Q56" s="16" t="n">
        <f aca="false">$N56*MAX(0,(MIN($G56,DATE(2026,7,31))-MAX($E56,DATE(2026,7,1))+1))/$O56</f>
        <v>23709.3103448276</v>
      </c>
      <c r="R56" s="16" t="n">
        <f aca="false">$N56*MAX(0,(MIN($G56,DATE(2026,8,31))-MAX($E56,DATE(2026,8,1))+1))/$O56</f>
        <v>2735.68965517241</v>
      </c>
      <c r="S56" s="16" t="n">
        <f aca="false">$N56*MAX(0,(MIN($G56,DATE(2026,9,30))-MAX($E56,DATE(2026,9,1))+1))/$O56</f>
        <v>0</v>
      </c>
      <c r="T56" s="16" t="n">
        <f aca="false">$N56*MAX(0,(MIN($G56,DATE(2026,10,31))-MAX($E56,DATE(2026,10,1))+1))/$O56</f>
        <v>0</v>
      </c>
      <c r="U56" s="16" t="n">
        <f aca="false">$N56*MAX(0,(MIN($G56,DATE(2026,11,30))-MAX($E56,DATE(2026,11,1))+1))/$O56</f>
        <v>0</v>
      </c>
      <c r="V56" s="16" t="n">
        <f aca="false">$N56*MAX(0,(MIN($G56,DATE(2026,12,31))-MAX($E56,DATE(2026,12,1))+1))/$O56</f>
        <v>0</v>
      </c>
      <c r="W56" s="17" t="n">
        <f aca="false">$H56*MAX(0,(MIN($G56,DATE(2026,7,31))-MAX($E56,DATE(2026,7,1))+1))/30.4</f>
        <v>0.320723684210526</v>
      </c>
      <c r="X56" s="17" t="n">
        <f aca="false">$H56*MAX(0,(MIN($G56,DATE(2026,8,31))-MAX($E56,DATE(2026,8,1))+1))/30.4</f>
        <v>0.0370065789473684</v>
      </c>
      <c r="Y56" s="17" t="n">
        <f aca="false">$H56*MAX(0,(MIN($G56,DATE(2026,9,30))-MAX($E56,DATE(2026,9,1))+1))/30.4</f>
        <v>0</v>
      </c>
      <c r="Z56" s="17" t="n">
        <f aca="false">$H56*MAX(0,(MIN($G56,DATE(2026,10,31))-MAX($E56,DATE(2026,10,1))+1))/30.4</f>
        <v>0</v>
      </c>
      <c r="AA56" s="17" t="n">
        <f aca="false">$H56*MAX(0,(MIN($G56,DATE(2026,11,30))-MAX($E56,DATE(2026,11,1))+1))/30.4</f>
        <v>0</v>
      </c>
      <c r="AB56" s="17" t="n">
        <f aca="false">$H56*MAX(0,(MIN($G56,DATE(2026,12,31))-MAX($E56,DATE(2026,12,1))+1))/30.4</f>
        <v>0</v>
      </c>
    </row>
    <row r="57" customFormat="false" ht="15" hidden="false" customHeight="false" outlineLevel="0" collapsed="false">
      <c r="A57" s="10" t="n">
        <v>10</v>
      </c>
      <c r="B57" s="10" t="n">
        <v>4</v>
      </c>
      <c r="C57" s="10" t="s">
        <v>124</v>
      </c>
      <c r="D57" s="10" t="s">
        <v>53</v>
      </c>
      <c r="E57" s="12" t="n">
        <v>46209</v>
      </c>
      <c r="F57" s="10" t="n">
        <v>4</v>
      </c>
      <c r="G57" s="12" t="n">
        <v>46237</v>
      </c>
      <c r="H57" s="13" t="n">
        <v>0.5</v>
      </c>
      <c r="I57" s="10" t="s">
        <v>113</v>
      </c>
      <c r="J57" s="14" t="str">
        <f aca="false">IFERROR(VLOOKUP(D57,Role_Mapping!$A$5:$D$31,2,FALSE()),"UNMAPPED")</f>
        <v>Consultant</v>
      </c>
      <c r="K57" s="14" t="str">
        <f aca="false">IFERROR(VLOOKUP(D57,Role_Mapping!$A$5:$D$31,3,FALSE()),"IN")</f>
        <v>IN</v>
      </c>
      <c r="L57" s="15" t="n">
        <f aca="false">IFERROR(SUMPRODUCT((Rate_Card!$A$5:$A$34=J57)*(Rate_Card!$B$5:$B$34=K57)*Rate_Card!$C$5:$C$34),0)</f>
        <v>683</v>
      </c>
      <c r="M57" s="10" t="n">
        <f aca="false">F57*5</f>
        <v>20</v>
      </c>
      <c r="N57" s="16" t="n">
        <f aca="false">L57*M57*H57</f>
        <v>6830</v>
      </c>
      <c r="O57" s="10" t="n">
        <f aca="false">(G57-E57)+1</f>
        <v>29</v>
      </c>
      <c r="P57" s="14" t="str">
        <f aca="false">IFERROR(VLOOKUP(D57,Role_Mapping!$A$5:$D$31,4,FALSE()),"UNMAPPED")</f>
        <v>Consulting</v>
      </c>
      <c r="Q57" s="16" t="n">
        <f aca="false">$N57*MAX(0,(MIN($G57,DATE(2026,7,31))-MAX($E57,DATE(2026,7,1))+1))/$O57</f>
        <v>6123.44827586207</v>
      </c>
      <c r="R57" s="16" t="n">
        <f aca="false">$N57*MAX(0,(MIN($G57,DATE(2026,8,31))-MAX($E57,DATE(2026,8,1))+1))/$O57</f>
        <v>706.551724137931</v>
      </c>
      <c r="S57" s="16" t="n">
        <f aca="false">$N57*MAX(0,(MIN($G57,DATE(2026,9,30))-MAX($E57,DATE(2026,9,1))+1))/$O57</f>
        <v>0</v>
      </c>
      <c r="T57" s="16" t="n">
        <f aca="false">$N57*MAX(0,(MIN($G57,DATE(2026,10,31))-MAX($E57,DATE(2026,10,1))+1))/$O57</f>
        <v>0</v>
      </c>
      <c r="U57" s="16" t="n">
        <f aca="false">$N57*MAX(0,(MIN($G57,DATE(2026,11,30))-MAX($E57,DATE(2026,11,1))+1))/$O57</f>
        <v>0</v>
      </c>
      <c r="V57" s="16" t="n">
        <f aca="false">$N57*MAX(0,(MIN($G57,DATE(2026,12,31))-MAX($E57,DATE(2026,12,1))+1))/$O57</f>
        <v>0</v>
      </c>
      <c r="W57" s="17" t="n">
        <f aca="false">$H57*MAX(0,(MIN($G57,DATE(2026,7,31))-MAX($E57,DATE(2026,7,1))+1))/30.4</f>
        <v>0.427631578947368</v>
      </c>
      <c r="X57" s="17" t="n">
        <f aca="false">$H57*MAX(0,(MIN($G57,DATE(2026,8,31))-MAX($E57,DATE(2026,8,1))+1))/30.4</f>
        <v>0.0493421052631579</v>
      </c>
      <c r="Y57" s="17" t="n">
        <f aca="false">$H57*MAX(0,(MIN($G57,DATE(2026,9,30))-MAX($E57,DATE(2026,9,1))+1))/30.4</f>
        <v>0</v>
      </c>
      <c r="Z57" s="17" t="n">
        <f aca="false">$H57*MAX(0,(MIN($G57,DATE(2026,10,31))-MAX($E57,DATE(2026,10,1))+1))/30.4</f>
        <v>0</v>
      </c>
      <c r="AA57" s="17" t="n">
        <f aca="false">$H57*MAX(0,(MIN($G57,DATE(2026,11,30))-MAX($E57,DATE(2026,11,1))+1))/30.4</f>
        <v>0</v>
      </c>
      <c r="AB57" s="17" t="n">
        <f aca="false">$H57*MAX(0,(MIN($G57,DATE(2026,12,31))-MAX($E57,DATE(2026,12,1))+1))/30.4</f>
        <v>0</v>
      </c>
    </row>
    <row r="58" customFormat="false" ht="15" hidden="false" customHeight="false" outlineLevel="0" collapsed="false">
      <c r="A58" s="10" t="n">
        <v>10</v>
      </c>
      <c r="B58" s="10" t="n">
        <v>4</v>
      </c>
      <c r="C58" s="10" t="s">
        <v>124</v>
      </c>
      <c r="D58" s="10" t="s">
        <v>45</v>
      </c>
      <c r="E58" s="12" t="n">
        <v>46209</v>
      </c>
      <c r="F58" s="10" t="n">
        <v>4</v>
      </c>
      <c r="G58" s="12" t="n">
        <v>46237</v>
      </c>
      <c r="H58" s="13" t="n">
        <v>1</v>
      </c>
      <c r="I58" s="10" t="s">
        <v>113</v>
      </c>
      <c r="J58" s="14" t="str">
        <f aca="false">IFERROR(VLOOKUP(D58,Role_Mapping!$A$5:$D$31,2,FALSE()),"UNMAPPED")</f>
        <v>Associate Consultant</v>
      </c>
      <c r="K58" s="14" t="str">
        <f aca="false">IFERROR(VLOOKUP(D58,Role_Mapping!$A$5:$D$31,3,FALSE()),"IN")</f>
        <v>IN</v>
      </c>
      <c r="L58" s="15" t="n">
        <f aca="false">IFERROR(SUMPRODUCT((Rate_Card!$A$5:$A$34=J58)*(Rate_Card!$B$5:$B$34=K58)*Rate_Card!$C$5:$C$34),0)</f>
        <v>585</v>
      </c>
      <c r="M58" s="10" t="n">
        <f aca="false">F58*5</f>
        <v>20</v>
      </c>
      <c r="N58" s="16" t="n">
        <f aca="false">L58*M58*H58</f>
        <v>11700</v>
      </c>
      <c r="O58" s="10" t="n">
        <f aca="false">(G58-E58)+1</f>
        <v>29</v>
      </c>
      <c r="P58" s="14" t="str">
        <f aca="false">IFERROR(VLOOKUP(D58,Role_Mapping!$A$5:$D$31,4,FALSE()),"UNMAPPED")</f>
        <v>Consulting</v>
      </c>
      <c r="Q58" s="16" t="n">
        <f aca="false">$N58*MAX(0,(MIN($G58,DATE(2026,7,31))-MAX($E58,DATE(2026,7,1))+1))/$O58</f>
        <v>10489.6551724138</v>
      </c>
      <c r="R58" s="16" t="n">
        <f aca="false">$N58*MAX(0,(MIN($G58,DATE(2026,8,31))-MAX($E58,DATE(2026,8,1))+1))/$O58</f>
        <v>1210.34482758621</v>
      </c>
      <c r="S58" s="16" t="n">
        <f aca="false">$N58*MAX(0,(MIN($G58,DATE(2026,9,30))-MAX($E58,DATE(2026,9,1))+1))/$O58</f>
        <v>0</v>
      </c>
      <c r="T58" s="16" t="n">
        <f aca="false">$N58*MAX(0,(MIN($G58,DATE(2026,10,31))-MAX($E58,DATE(2026,10,1))+1))/$O58</f>
        <v>0</v>
      </c>
      <c r="U58" s="16" t="n">
        <f aca="false">$N58*MAX(0,(MIN($G58,DATE(2026,11,30))-MAX($E58,DATE(2026,11,1))+1))/$O58</f>
        <v>0</v>
      </c>
      <c r="V58" s="16" t="n">
        <f aca="false">$N58*MAX(0,(MIN($G58,DATE(2026,12,31))-MAX($E58,DATE(2026,12,1))+1))/$O58</f>
        <v>0</v>
      </c>
      <c r="W58" s="17" t="n">
        <f aca="false">$H58*MAX(0,(MIN($G58,DATE(2026,7,31))-MAX($E58,DATE(2026,7,1))+1))/30.4</f>
        <v>0.855263157894737</v>
      </c>
      <c r="X58" s="17" t="n">
        <f aca="false">$H58*MAX(0,(MIN($G58,DATE(2026,8,31))-MAX($E58,DATE(2026,8,1))+1))/30.4</f>
        <v>0.0986842105263158</v>
      </c>
      <c r="Y58" s="17" t="n">
        <f aca="false">$H58*MAX(0,(MIN($G58,DATE(2026,9,30))-MAX($E58,DATE(2026,9,1))+1))/30.4</f>
        <v>0</v>
      </c>
      <c r="Z58" s="17" t="n">
        <f aca="false">$H58*MAX(0,(MIN($G58,DATE(2026,10,31))-MAX($E58,DATE(2026,10,1))+1))/30.4</f>
        <v>0</v>
      </c>
      <c r="AA58" s="17" t="n">
        <f aca="false">$H58*MAX(0,(MIN($G58,DATE(2026,11,30))-MAX($E58,DATE(2026,11,1))+1))/30.4</f>
        <v>0</v>
      </c>
      <c r="AB58" s="17" t="n">
        <f aca="false">$H58*MAX(0,(MIN($G58,DATE(2026,12,31))-MAX($E58,DATE(2026,12,1))+1))/30.4</f>
        <v>0</v>
      </c>
    </row>
    <row r="59" customFormat="false" ht="15" hidden="false" customHeight="false" outlineLevel="0" collapsed="false">
      <c r="A59" s="10" t="n">
        <v>10</v>
      </c>
      <c r="B59" s="10" t="n">
        <v>4</v>
      </c>
      <c r="C59" s="10" t="s">
        <v>124</v>
      </c>
      <c r="D59" s="10" t="s">
        <v>64</v>
      </c>
      <c r="E59" s="12" t="n">
        <v>46209</v>
      </c>
      <c r="F59" s="10" t="n">
        <v>4</v>
      </c>
      <c r="G59" s="12" t="n">
        <v>46237</v>
      </c>
      <c r="H59" s="13" t="n">
        <v>0.375</v>
      </c>
      <c r="I59" s="10" t="s">
        <v>113</v>
      </c>
      <c r="J59" s="14" t="str">
        <f aca="false">IFERROR(VLOOKUP(D59,Role_Mapping!$A$5:$D$31,2,FALSE()),"UNMAPPED")</f>
        <v>Principal Technology Architect</v>
      </c>
      <c r="K59" s="14" t="str">
        <f aca="false">IFERROR(VLOOKUP(D59,Role_Mapping!$A$5:$D$31,3,FALSE()),"IN")</f>
        <v>IN</v>
      </c>
      <c r="L59" s="15" t="n">
        <f aca="false">IFERROR(SUMPRODUCT((Rate_Card!$A$5:$A$34=J59)*(Rate_Card!$B$5:$B$34=K59)*Rate_Card!$C$5:$C$34),0)</f>
        <v>845</v>
      </c>
      <c r="M59" s="10" t="n">
        <f aca="false">F59*5</f>
        <v>20</v>
      </c>
      <c r="N59" s="16" t="n">
        <f aca="false">L59*M59*H59</f>
        <v>6337.5</v>
      </c>
      <c r="O59" s="10" t="n">
        <f aca="false">(G59-E59)+1</f>
        <v>29</v>
      </c>
      <c r="P59" s="14" t="str">
        <f aca="false">IFERROR(VLOOKUP(D59,Role_Mapping!$A$5:$D$31,4,FALSE()),"UNMAPPED")</f>
        <v>Full Stack</v>
      </c>
      <c r="Q59" s="16" t="n">
        <f aca="false">$N59*MAX(0,(MIN($G59,DATE(2026,7,31))-MAX($E59,DATE(2026,7,1))+1))/$O59</f>
        <v>5681.89655172414</v>
      </c>
      <c r="R59" s="16" t="n">
        <f aca="false">$N59*MAX(0,(MIN($G59,DATE(2026,8,31))-MAX($E59,DATE(2026,8,1))+1))/$O59</f>
        <v>655.603448275862</v>
      </c>
      <c r="S59" s="16" t="n">
        <f aca="false">$N59*MAX(0,(MIN($G59,DATE(2026,9,30))-MAX($E59,DATE(2026,9,1))+1))/$O59</f>
        <v>0</v>
      </c>
      <c r="T59" s="16" t="n">
        <f aca="false">$N59*MAX(0,(MIN($G59,DATE(2026,10,31))-MAX($E59,DATE(2026,10,1))+1))/$O59</f>
        <v>0</v>
      </c>
      <c r="U59" s="16" t="n">
        <f aca="false">$N59*MAX(0,(MIN($G59,DATE(2026,11,30))-MAX($E59,DATE(2026,11,1))+1))/$O59</f>
        <v>0</v>
      </c>
      <c r="V59" s="16" t="n">
        <f aca="false">$N59*MAX(0,(MIN($G59,DATE(2026,12,31))-MAX($E59,DATE(2026,12,1))+1))/$O59</f>
        <v>0</v>
      </c>
      <c r="W59" s="17" t="n">
        <f aca="false">$H59*MAX(0,(MIN($G59,DATE(2026,7,31))-MAX($E59,DATE(2026,7,1))+1))/30.4</f>
        <v>0.320723684210526</v>
      </c>
      <c r="X59" s="17" t="n">
        <f aca="false">$H59*MAX(0,(MIN($G59,DATE(2026,8,31))-MAX($E59,DATE(2026,8,1))+1))/30.4</f>
        <v>0.0370065789473684</v>
      </c>
      <c r="Y59" s="17" t="n">
        <f aca="false">$H59*MAX(0,(MIN($G59,DATE(2026,9,30))-MAX($E59,DATE(2026,9,1))+1))/30.4</f>
        <v>0</v>
      </c>
      <c r="Z59" s="17" t="n">
        <f aca="false">$H59*MAX(0,(MIN($G59,DATE(2026,10,31))-MAX($E59,DATE(2026,10,1))+1))/30.4</f>
        <v>0</v>
      </c>
      <c r="AA59" s="17" t="n">
        <f aca="false">$H59*MAX(0,(MIN($G59,DATE(2026,11,30))-MAX($E59,DATE(2026,11,1))+1))/30.4</f>
        <v>0</v>
      </c>
      <c r="AB59" s="17" t="n">
        <f aca="false">$H59*MAX(0,(MIN($G59,DATE(2026,12,31))-MAX($E59,DATE(2026,12,1))+1))/30.4</f>
        <v>0</v>
      </c>
    </row>
    <row r="60" customFormat="false" ht="15" hidden="false" customHeight="false" outlineLevel="0" collapsed="false">
      <c r="A60" s="10" t="n">
        <v>10</v>
      </c>
      <c r="B60" s="10" t="n">
        <v>4</v>
      </c>
      <c r="C60" s="10" t="s">
        <v>124</v>
      </c>
      <c r="D60" s="10" t="s">
        <v>75</v>
      </c>
      <c r="E60" s="12" t="n">
        <v>46209</v>
      </c>
      <c r="F60" s="10" t="n">
        <v>4</v>
      </c>
      <c r="G60" s="12" t="n">
        <v>46237</v>
      </c>
      <c r="H60" s="13" t="n">
        <v>1</v>
      </c>
      <c r="I60" s="10" t="s">
        <v>113</v>
      </c>
      <c r="J60" s="14" t="str">
        <f aca="false">IFERROR(VLOOKUP(D60,Role_Mapping!$A$5:$D$31,2,FALSE()),"UNMAPPED")</f>
        <v>Software Engineer</v>
      </c>
      <c r="K60" s="14" t="str">
        <f aca="false">IFERROR(VLOOKUP(D60,Role_Mapping!$A$5:$D$31,3,FALSE()),"IN")</f>
        <v>IN</v>
      </c>
      <c r="L60" s="15" t="n">
        <f aca="false">IFERROR(SUMPRODUCT((Rate_Card!$A$5:$A$34=J60)*(Rate_Card!$B$5:$B$34=K60)*Rate_Card!$C$5:$C$34),0)</f>
        <v>455</v>
      </c>
      <c r="M60" s="10" t="n">
        <f aca="false">F60*5</f>
        <v>20</v>
      </c>
      <c r="N60" s="16" t="n">
        <f aca="false">L60*M60*H60</f>
        <v>9100</v>
      </c>
      <c r="O60" s="10" t="n">
        <f aca="false">(G60-E60)+1</f>
        <v>29</v>
      </c>
      <c r="P60" s="14" t="str">
        <f aca="false">IFERROR(VLOOKUP(D60,Role_Mapping!$A$5:$D$31,4,FALSE()),"UNMAPPED")</f>
        <v>Full Stack</v>
      </c>
      <c r="Q60" s="16" t="n">
        <f aca="false">$N60*MAX(0,(MIN($G60,DATE(2026,7,31))-MAX($E60,DATE(2026,7,1))+1))/$O60</f>
        <v>8158.62068965517</v>
      </c>
      <c r="R60" s="16" t="n">
        <f aca="false">$N60*MAX(0,(MIN($G60,DATE(2026,8,31))-MAX($E60,DATE(2026,8,1))+1))/$O60</f>
        <v>941.379310344828</v>
      </c>
      <c r="S60" s="16" t="n">
        <f aca="false">$N60*MAX(0,(MIN($G60,DATE(2026,9,30))-MAX($E60,DATE(2026,9,1))+1))/$O60</f>
        <v>0</v>
      </c>
      <c r="T60" s="16" t="n">
        <f aca="false">$N60*MAX(0,(MIN($G60,DATE(2026,10,31))-MAX($E60,DATE(2026,10,1))+1))/$O60</f>
        <v>0</v>
      </c>
      <c r="U60" s="16" t="n">
        <f aca="false">$N60*MAX(0,(MIN($G60,DATE(2026,11,30))-MAX($E60,DATE(2026,11,1))+1))/$O60</f>
        <v>0</v>
      </c>
      <c r="V60" s="16" t="n">
        <f aca="false">$N60*MAX(0,(MIN($G60,DATE(2026,12,31))-MAX($E60,DATE(2026,12,1))+1))/$O60</f>
        <v>0</v>
      </c>
      <c r="W60" s="17" t="n">
        <f aca="false">$H60*MAX(0,(MIN($G60,DATE(2026,7,31))-MAX($E60,DATE(2026,7,1))+1))/30.4</f>
        <v>0.855263157894737</v>
      </c>
      <c r="X60" s="17" t="n">
        <f aca="false">$H60*MAX(0,(MIN($G60,DATE(2026,8,31))-MAX($E60,DATE(2026,8,1))+1))/30.4</f>
        <v>0.0986842105263158</v>
      </c>
      <c r="Y60" s="17" t="n">
        <f aca="false">$H60*MAX(0,(MIN($G60,DATE(2026,9,30))-MAX($E60,DATE(2026,9,1))+1))/30.4</f>
        <v>0</v>
      </c>
      <c r="Z60" s="17" t="n">
        <f aca="false">$H60*MAX(0,(MIN($G60,DATE(2026,10,31))-MAX($E60,DATE(2026,10,1))+1))/30.4</f>
        <v>0</v>
      </c>
      <c r="AA60" s="17" t="n">
        <f aca="false">$H60*MAX(0,(MIN($G60,DATE(2026,11,30))-MAX($E60,DATE(2026,11,1))+1))/30.4</f>
        <v>0</v>
      </c>
      <c r="AB60" s="17" t="n">
        <f aca="false">$H60*MAX(0,(MIN($G60,DATE(2026,12,31))-MAX($E60,DATE(2026,12,1))+1))/30.4</f>
        <v>0</v>
      </c>
    </row>
    <row r="61" customFormat="false" ht="15" hidden="false" customHeight="false" outlineLevel="0" collapsed="false">
      <c r="A61" s="10" t="n">
        <v>11</v>
      </c>
      <c r="B61" s="10" t="n">
        <v>5</v>
      </c>
      <c r="C61" s="10" t="s">
        <v>125</v>
      </c>
      <c r="D61" s="10" t="s">
        <v>62</v>
      </c>
      <c r="E61" s="12" t="n">
        <v>46195</v>
      </c>
      <c r="F61" s="10" t="n">
        <v>8</v>
      </c>
      <c r="G61" s="12" t="n">
        <v>46251</v>
      </c>
      <c r="H61" s="13" t="n">
        <v>0.125</v>
      </c>
      <c r="I61" s="10" t="s">
        <v>126</v>
      </c>
      <c r="J61" s="14" t="str">
        <f aca="false">IFERROR(VLOOKUP(D61,Role_Mapping!$A$5:$D$31,2,FALSE()),"UNMAPPED")</f>
        <v>Associate Partner</v>
      </c>
      <c r="K61" s="14" t="str">
        <f aca="false">IFERROR(VLOOKUP(D61,Role_Mapping!$A$5:$D$31,3,FALSE()),"IN")</f>
        <v>UK</v>
      </c>
      <c r="L61" s="15" t="n">
        <f aca="false">IFERROR(SUMPRODUCT((Rate_Card!$A$5:$A$34=J61)*(Rate_Card!$B$5:$B$34=K61)*Rate_Card!$C$5:$C$34),0)</f>
        <v>3526</v>
      </c>
      <c r="M61" s="10" t="n">
        <f aca="false">F61*5</f>
        <v>40</v>
      </c>
      <c r="N61" s="16" t="n">
        <f aca="false">L61*M61*H61</f>
        <v>17630</v>
      </c>
      <c r="O61" s="10" t="n">
        <f aca="false">(G61-E61)+1</f>
        <v>57</v>
      </c>
      <c r="P61" s="14" t="str">
        <f aca="false">IFERROR(VLOOKUP(D61,Role_Mapping!$A$5:$D$31,4,FALSE()),"UNMAPPED")</f>
        <v>GTM</v>
      </c>
      <c r="Q61" s="16" t="n">
        <f aca="false">$N61*MAX(0,(MIN($G61,DATE(2026,7,31))-MAX($E61,DATE(2026,7,1))+1))/$O61</f>
        <v>9588.24561403509</v>
      </c>
      <c r="R61" s="16" t="n">
        <f aca="false">$N61*MAX(0,(MIN($G61,DATE(2026,8,31))-MAX($E61,DATE(2026,8,1))+1))/$O61</f>
        <v>5258.0701754386</v>
      </c>
      <c r="S61" s="16" t="n">
        <f aca="false">$N61*MAX(0,(MIN($G61,DATE(2026,9,30))-MAX($E61,DATE(2026,9,1))+1))/$O61</f>
        <v>0</v>
      </c>
      <c r="T61" s="16" t="n">
        <f aca="false">$N61*MAX(0,(MIN($G61,DATE(2026,10,31))-MAX($E61,DATE(2026,10,1))+1))/$O61</f>
        <v>0</v>
      </c>
      <c r="U61" s="16" t="n">
        <f aca="false">$N61*MAX(0,(MIN($G61,DATE(2026,11,30))-MAX($E61,DATE(2026,11,1))+1))/$O61</f>
        <v>0</v>
      </c>
      <c r="V61" s="16" t="n">
        <f aca="false">$N61*MAX(0,(MIN($G61,DATE(2026,12,31))-MAX($E61,DATE(2026,12,1))+1))/$O61</f>
        <v>0</v>
      </c>
      <c r="W61" s="17" t="n">
        <f aca="false">$H61*MAX(0,(MIN($G61,DATE(2026,7,31))-MAX($E61,DATE(2026,7,1))+1))/30.4</f>
        <v>0.127467105263158</v>
      </c>
      <c r="X61" s="17" t="n">
        <f aca="false">$H61*MAX(0,(MIN($G61,DATE(2026,8,31))-MAX($E61,DATE(2026,8,1))+1))/30.4</f>
        <v>0.0699013157894737</v>
      </c>
      <c r="Y61" s="17" t="n">
        <f aca="false">$H61*MAX(0,(MIN($G61,DATE(2026,9,30))-MAX($E61,DATE(2026,9,1))+1))/30.4</f>
        <v>0</v>
      </c>
      <c r="Z61" s="17" t="n">
        <f aca="false">$H61*MAX(0,(MIN($G61,DATE(2026,10,31))-MAX($E61,DATE(2026,10,1))+1))/30.4</f>
        <v>0</v>
      </c>
      <c r="AA61" s="17" t="n">
        <f aca="false">$H61*MAX(0,(MIN($G61,DATE(2026,11,30))-MAX($E61,DATE(2026,11,1))+1))/30.4</f>
        <v>0</v>
      </c>
      <c r="AB61" s="17" t="n">
        <f aca="false">$H61*MAX(0,(MIN($G61,DATE(2026,12,31))-MAX($E61,DATE(2026,12,1))+1))/30.4</f>
        <v>0</v>
      </c>
    </row>
    <row r="62" customFormat="false" ht="15" hidden="false" customHeight="false" outlineLevel="0" collapsed="false">
      <c r="A62" s="10" t="n">
        <v>12</v>
      </c>
      <c r="B62" s="10" t="n">
        <v>5</v>
      </c>
      <c r="C62" s="10"/>
      <c r="D62" s="10" t="s">
        <v>64</v>
      </c>
      <c r="E62" s="12" t="n">
        <v>46195</v>
      </c>
      <c r="F62" s="10" t="n">
        <v>5</v>
      </c>
      <c r="G62" s="12" t="n">
        <v>46230</v>
      </c>
      <c r="H62" s="13" t="n">
        <v>0.125</v>
      </c>
      <c r="I62" s="10" t="s">
        <v>126</v>
      </c>
      <c r="J62" s="14" t="str">
        <f aca="false">IFERROR(VLOOKUP(D62,Role_Mapping!$A$5:$D$31,2,FALSE()),"UNMAPPED")</f>
        <v>Principal Technology Architect</v>
      </c>
      <c r="K62" s="14" t="str">
        <f aca="false">IFERROR(VLOOKUP(D62,Role_Mapping!$A$5:$D$31,3,FALSE()),"IN")</f>
        <v>IN</v>
      </c>
      <c r="L62" s="15" t="n">
        <f aca="false">IFERROR(SUMPRODUCT((Rate_Card!$A$5:$A$34=J62)*(Rate_Card!$B$5:$B$34=K62)*Rate_Card!$C$5:$C$34),0)</f>
        <v>845</v>
      </c>
      <c r="M62" s="10" t="n">
        <f aca="false">F62*5</f>
        <v>25</v>
      </c>
      <c r="N62" s="16" t="n">
        <f aca="false">L62*M62*H62</f>
        <v>2640.625</v>
      </c>
      <c r="O62" s="10" t="n">
        <f aca="false">(G62-E62)+1</f>
        <v>36</v>
      </c>
      <c r="P62" s="14" t="str">
        <f aca="false">IFERROR(VLOOKUP(D62,Role_Mapping!$A$5:$D$31,4,FALSE()),"UNMAPPED")</f>
        <v>Full Stack</v>
      </c>
      <c r="Q62" s="16" t="n">
        <f aca="false">$N62*MAX(0,(MIN($G62,DATE(2026,7,31))-MAX($E62,DATE(2026,7,1))+1))/$O62</f>
        <v>1980.46875</v>
      </c>
      <c r="R62" s="16" t="n">
        <f aca="false">$N62*MAX(0,(MIN($G62,DATE(2026,8,31))-MAX($E62,DATE(2026,8,1))+1))/$O62</f>
        <v>0</v>
      </c>
      <c r="S62" s="16" t="n">
        <f aca="false">$N62*MAX(0,(MIN($G62,DATE(2026,9,30))-MAX($E62,DATE(2026,9,1))+1))/$O62</f>
        <v>0</v>
      </c>
      <c r="T62" s="16" t="n">
        <f aca="false">$N62*MAX(0,(MIN($G62,DATE(2026,10,31))-MAX($E62,DATE(2026,10,1))+1))/$O62</f>
        <v>0</v>
      </c>
      <c r="U62" s="16" t="n">
        <f aca="false">$N62*MAX(0,(MIN($G62,DATE(2026,11,30))-MAX($E62,DATE(2026,11,1))+1))/$O62</f>
        <v>0</v>
      </c>
      <c r="V62" s="16" t="n">
        <f aca="false">$N62*MAX(0,(MIN($G62,DATE(2026,12,31))-MAX($E62,DATE(2026,12,1))+1))/$O62</f>
        <v>0</v>
      </c>
      <c r="W62" s="17" t="n">
        <f aca="false">$H62*MAX(0,(MIN($G62,DATE(2026,7,31))-MAX($E62,DATE(2026,7,1))+1))/30.4</f>
        <v>0.111019736842105</v>
      </c>
      <c r="X62" s="17" t="n">
        <f aca="false">$H62*MAX(0,(MIN($G62,DATE(2026,8,31))-MAX($E62,DATE(2026,8,1))+1))/30.4</f>
        <v>0</v>
      </c>
      <c r="Y62" s="17" t="n">
        <f aca="false">$H62*MAX(0,(MIN($G62,DATE(2026,9,30))-MAX($E62,DATE(2026,9,1))+1))/30.4</f>
        <v>0</v>
      </c>
      <c r="Z62" s="17" t="n">
        <f aca="false">$H62*MAX(0,(MIN($G62,DATE(2026,10,31))-MAX($E62,DATE(2026,10,1))+1))/30.4</f>
        <v>0</v>
      </c>
      <c r="AA62" s="17" t="n">
        <f aca="false">$H62*MAX(0,(MIN($G62,DATE(2026,11,30))-MAX($E62,DATE(2026,11,1))+1))/30.4</f>
        <v>0</v>
      </c>
      <c r="AB62" s="17" t="n">
        <f aca="false">$H62*MAX(0,(MIN($G62,DATE(2026,12,31))-MAX($E62,DATE(2026,12,1))+1))/30.4</f>
        <v>0</v>
      </c>
    </row>
    <row r="63" customFormat="false" ht="15" hidden="false" customHeight="false" outlineLevel="0" collapsed="false">
      <c r="A63" s="10" t="n">
        <v>13</v>
      </c>
      <c r="B63" s="10" t="n">
        <v>5</v>
      </c>
      <c r="C63" s="10"/>
      <c r="D63" s="10" t="s">
        <v>72</v>
      </c>
      <c r="E63" s="12" t="n">
        <v>46195</v>
      </c>
      <c r="F63" s="10" t="n">
        <v>5</v>
      </c>
      <c r="G63" s="12" t="n">
        <v>46230</v>
      </c>
      <c r="H63" s="13" t="n">
        <v>0.5</v>
      </c>
      <c r="I63" s="10" t="s">
        <v>113</v>
      </c>
      <c r="J63" s="14" t="str">
        <f aca="false">IFERROR(VLOOKUP(D63,Role_Mapping!$A$5:$D$31,2,FALSE()),"UNMAPPED")</f>
        <v>Senior Consultant</v>
      </c>
      <c r="K63" s="14" t="str">
        <f aca="false">IFERROR(VLOOKUP(D63,Role_Mapping!$A$5:$D$31,3,FALSE()),"IN")</f>
        <v>UK</v>
      </c>
      <c r="L63" s="15" t="n">
        <f aca="false">IFERROR(SUMPRODUCT((Rate_Card!$A$5:$A$34=J63)*(Rate_Card!$B$5:$B$34=K63)*Rate_Card!$C$5:$C$34),0)</f>
        <v>2798</v>
      </c>
      <c r="M63" s="10" t="n">
        <f aca="false">F63*5</f>
        <v>25</v>
      </c>
      <c r="N63" s="16" t="n">
        <f aca="false">L63*M63*H63</f>
        <v>34975</v>
      </c>
      <c r="O63" s="10" t="n">
        <f aca="false">(G63-E63)+1</f>
        <v>36</v>
      </c>
      <c r="P63" s="14" t="str">
        <f aca="false">IFERROR(VLOOKUP(D63,Role_Mapping!$A$5:$D$31,4,FALSE()),"UNMAPPED")</f>
        <v>Consulting</v>
      </c>
      <c r="Q63" s="16" t="n">
        <f aca="false">$N63*MAX(0,(MIN($G63,DATE(2026,7,31))-MAX($E63,DATE(2026,7,1))+1))/$O63</f>
        <v>26231.25</v>
      </c>
      <c r="R63" s="16" t="n">
        <f aca="false">$N63*MAX(0,(MIN($G63,DATE(2026,8,31))-MAX($E63,DATE(2026,8,1))+1))/$O63</f>
        <v>0</v>
      </c>
      <c r="S63" s="16" t="n">
        <f aca="false">$N63*MAX(0,(MIN($G63,DATE(2026,9,30))-MAX($E63,DATE(2026,9,1))+1))/$O63</f>
        <v>0</v>
      </c>
      <c r="T63" s="16" t="n">
        <f aca="false">$N63*MAX(0,(MIN($G63,DATE(2026,10,31))-MAX($E63,DATE(2026,10,1))+1))/$O63</f>
        <v>0</v>
      </c>
      <c r="U63" s="16" t="n">
        <f aca="false">$N63*MAX(0,(MIN($G63,DATE(2026,11,30))-MAX($E63,DATE(2026,11,1))+1))/$O63</f>
        <v>0</v>
      </c>
      <c r="V63" s="16" t="n">
        <f aca="false">$N63*MAX(0,(MIN($G63,DATE(2026,12,31))-MAX($E63,DATE(2026,12,1))+1))/$O63</f>
        <v>0</v>
      </c>
      <c r="W63" s="17" t="n">
        <f aca="false">$H63*MAX(0,(MIN($G63,DATE(2026,7,31))-MAX($E63,DATE(2026,7,1))+1))/30.4</f>
        <v>0.444078947368421</v>
      </c>
      <c r="X63" s="17" t="n">
        <f aca="false">$H63*MAX(0,(MIN($G63,DATE(2026,8,31))-MAX($E63,DATE(2026,8,1))+1))/30.4</f>
        <v>0</v>
      </c>
      <c r="Y63" s="17" t="n">
        <f aca="false">$H63*MAX(0,(MIN($G63,DATE(2026,9,30))-MAX($E63,DATE(2026,9,1))+1))/30.4</f>
        <v>0</v>
      </c>
      <c r="Z63" s="17" t="n">
        <f aca="false">$H63*MAX(0,(MIN($G63,DATE(2026,10,31))-MAX($E63,DATE(2026,10,1))+1))/30.4</f>
        <v>0</v>
      </c>
      <c r="AA63" s="17" t="n">
        <f aca="false">$H63*MAX(0,(MIN($G63,DATE(2026,11,30))-MAX($E63,DATE(2026,11,1))+1))/30.4</f>
        <v>0</v>
      </c>
      <c r="AB63" s="17" t="n">
        <f aca="false">$H63*MAX(0,(MIN($G63,DATE(2026,12,31))-MAX($E63,DATE(2026,12,1))+1))/30.4</f>
        <v>0</v>
      </c>
    </row>
    <row r="64" customFormat="false" ht="15" hidden="false" customHeight="false" outlineLevel="0" collapsed="false">
      <c r="A64" s="10" t="n">
        <v>14</v>
      </c>
      <c r="B64" s="10" t="n">
        <v>5</v>
      </c>
      <c r="C64" s="10"/>
      <c r="D64" s="10" t="s">
        <v>67</v>
      </c>
      <c r="E64" s="12" t="n">
        <v>46195</v>
      </c>
      <c r="F64" s="10" t="n">
        <v>5</v>
      </c>
      <c r="G64" s="12" t="n">
        <v>46230</v>
      </c>
      <c r="H64" s="13" t="n">
        <v>1</v>
      </c>
      <c r="I64" s="10" t="s">
        <v>113</v>
      </c>
      <c r="J64" s="14" t="str">
        <f aca="false">IFERROR(VLOOKUP(D64,Role_Mapping!$A$5:$D$31,2,FALSE()),"UNMAPPED")</f>
        <v>Senior Associate Consultant</v>
      </c>
      <c r="K64" s="14" t="str">
        <f aca="false">IFERROR(VLOOKUP(D64,Role_Mapping!$A$5:$D$31,3,FALSE()),"IN")</f>
        <v>IN</v>
      </c>
      <c r="L64" s="15" t="n">
        <f aca="false">IFERROR(SUMPRODUCT((Rate_Card!$A$5:$A$34=J64)*(Rate_Card!$B$5:$B$34=K64)*Rate_Card!$C$5:$C$34),0)</f>
        <v>683</v>
      </c>
      <c r="M64" s="10" t="n">
        <f aca="false">F64*5</f>
        <v>25</v>
      </c>
      <c r="N64" s="16" t="n">
        <f aca="false">L64*M64*H64</f>
        <v>17075</v>
      </c>
      <c r="O64" s="10" t="n">
        <f aca="false">(G64-E64)+1</f>
        <v>36</v>
      </c>
      <c r="P64" s="14" t="str">
        <f aca="false">IFERROR(VLOOKUP(D64,Role_Mapping!$A$5:$D$31,4,FALSE()),"UNMAPPED")</f>
        <v>Consulting</v>
      </c>
      <c r="Q64" s="16" t="n">
        <f aca="false">$N64*MAX(0,(MIN($G64,DATE(2026,7,31))-MAX($E64,DATE(2026,7,1))+1))/$O64</f>
        <v>12806.25</v>
      </c>
      <c r="R64" s="16" t="n">
        <f aca="false">$N64*MAX(0,(MIN($G64,DATE(2026,8,31))-MAX($E64,DATE(2026,8,1))+1))/$O64</f>
        <v>0</v>
      </c>
      <c r="S64" s="16" t="n">
        <f aca="false">$N64*MAX(0,(MIN($G64,DATE(2026,9,30))-MAX($E64,DATE(2026,9,1))+1))/$O64</f>
        <v>0</v>
      </c>
      <c r="T64" s="16" t="n">
        <f aca="false">$N64*MAX(0,(MIN($G64,DATE(2026,10,31))-MAX($E64,DATE(2026,10,1))+1))/$O64</f>
        <v>0</v>
      </c>
      <c r="U64" s="16" t="n">
        <f aca="false">$N64*MAX(0,(MIN($G64,DATE(2026,11,30))-MAX($E64,DATE(2026,11,1))+1))/$O64</f>
        <v>0</v>
      </c>
      <c r="V64" s="16" t="n">
        <f aca="false">$N64*MAX(0,(MIN($G64,DATE(2026,12,31))-MAX($E64,DATE(2026,12,1))+1))/$O64</f>
        <v>0</v>
      </c>
      <c r="W64" s="17" t="n">
        <f aca="false">$H64*MAX(0,(MIN($G64,DATE(2026,7,31))-MAX($E64,DATE(2026,7,1))+1))/30.4</f>
        <v>0.888157894736842</v>
      </c>
      <c r="X64" s="17" t="n">
        <f aca="false">$H64*MAX(0,(MIN($G64,DATE(2026,8,31))-MAX($E64,DATE(2026,8,1))+1))/30.4</f>
        <v>0</v>
      </c>
      <c r="Y64" s="17" t="n">
        <f aca="false">$H64*MAX(0,(MIN($G64,DATE(2026,9,30))-MAX($E64,DATE(2026,9,1))+1))/30.4</f>
        <v>0</v>
      </c>
      <c r="Z64" s="17" t="n">
        <f aca="false">$H64*MAX(0,(MIN($G64,DATE(2026,10,31))-MAX($E64,DATE(2026,10,1))+1))/30.4</f>
        <v>0</v>
      </c>
      <c r="AA64" s="17" t="n">
        <f aca="false">$H64*MAX(0,(MIN($G64,DATE(2026,11,30))-MAX($E64,DATE(2026,11,1))+1))/30.4</f>
        <v>0</v>
      </c>
      <c r="AB64" s="17" t="n">
        <f aca="false">$H64*MAX(0,(MIN($G64,DATE(2026,12,31))-MAX($E64,DATE(2026,12,1))+1))/30.4</f>
        <v>0</v>
      </c>
    </row>
    <row r="65" customFormat="false" ht="15" hidden="false" customHeight="false" outlineLevel="0" collapsed="false">
      <c r="A65" s="10" t="n">
        <v>15</v>
      </c>
      <c r="B65" s="10" t="n">
        <v>5</v>
      </c>
      <c r="C65" s="10"/>
      <c r="D65" s="10" t="s">
        <v>58</v>
      </c>
      <c r="E65" s="12" t="n">
        <v>46202</v>
      </c>
      <c r="F65" s="10" t="n">
        <v>5</v>
      </c>
      <c r="G65" s="12" t="n">
        <v>46237</v>
      </c>
      <c r="H65" s="13" t="n">
        <v>1</v>
      </c>
      <c r="I65" s="10" t="s">
        <v>113</v>
      </c>
      <c r="J65" s="14" t="str">
        <f aca="false">IFERROR(VLOOKUP(D65,Role_Mapping!$A$5:$D$31,2,FALSE()),"UNMAPPED")</f>
        <v>Solutions Enabler</v>
      </c>
      <c r="K65" s="14" t="str">
        <f aca="false">IFERROR(VLOOKUP(D65,Role_Mapping!$A$5:$D$31,3,FALSE()),"IN")</f>
        <v>IN</v>
      </c>
      <c r="L65" s="15" t="n">
        <f aca="false">IFERROR(SUMPRODUCT((Rate_Card!$A$5:$A$34=J65)*(Rate_Card!$B$5:$B$34=K65)*Rate_Card!$C$5:$C$34),0)</f>
        <v>683</v>
      </c>
      <c r="M65" s="10" t="n">
        <f aca="false">F65*5</f>
        <v>25</v>
      </c>
      <c r="N65" s="16" t="n">
        <f aca="false">L65*M65*H65</f>
        <v>17075</v>
      </c>
      <c r="O65" s="10" t="n">
        <f aca="false">(G65-E65)+1</f>
        <v>36</v>
      </c>
      <c r="P65" s="14" t="str">
        <f aca="false">IFERROR(VLOOKUP(D65,Role_Mapping!$A$5:$D$31,4,FALSE()),"UNMAPPED")</f>
        <v>Data Engineering</v>
      </c>
      <c r="Q65" s="16" t="n">
        <f aca="false">$N65*MAX(0,(MIN($G65,DATE(2026,7,31))-MAX($E65,DATE(2026,7,1))+1))/$O65</f>
        <v>14703.4722222222</v>
      </c>
      <c r="R65" s="16" t="n">
        <f aca="false">$N65*MAX(0,(MIN($G65,DATE(2026,8,31))-MAX($E65,DATE(2026,8,1))+1))/$O65</f>
        <v>1422.91666666667</v>
      </c>
      <c r="S65" s="16" t="n">
        <f aca="false">$N65*MAX(0,(MIN($G65,DATE(2026,9,30))-MAX($E65,DATE(2026,9,1))+1))/$O65</f>
        <v>0</v>
      </c>
      <c r="T65" s="16" t="n">
        <f aca="false">$N65*MAX(0,(MIN($G65,DATE(2026,10,31))-MAX($E65,DATE(2026,10,1))+1))/$O65</f>
        <v>0</v>
      </c>
      <c r="U65" s="16" t="n">
        <f aca="false">$N65*MAX(0,(MIN($G65,DATE(2026,11,30))-MAX($E65,DATE(2026,11,1))+1))/$O65</f>
        <v>0</v>
      </c>
      <c r="V65" s="16" t="n">
        <f aca="false">$N65*MAX(0,(MIN($G65,DATE(2026,12,31))-MAX($E65,DATE(2026,12,1))+1))/$O65</f>
        <v>0</v>
      </c>
      <c r="W65" s="17" t="n">
        <f aca="false">$H65*MAX(0,(MIN($G65,DATE(2026,7,31))-MAX($E65,DATE(2026,7,1))+1))/30.4</f>
        <v>1.01973684210526</v>
      </c>
      <c r="X65" s="17" t="n">
        <f aca="false">$H65*MAX(0,(MIN($G65,DATE(2026,8,31))-MAX($E65,DATE(2026,8,1))+1))/30.4</f>
        <v>0.0986842105263158</v>
      </c>
      <c r="Y65" s="17" t="n">
        <f aca="false">$H65*MAX(0,(MIN($G65,DATE(2026,9,30))-MAX($E65,DATE(2026,9,1))+1))/30.4</f>
        <v>0</v>
      </c>
      <c r="Z65" s="17" t="n">
        <f aca="false">$H65*MAX(0,(MIN($G65,DATE(2026,10,31))-MAX($E65,DATE(2026,10,1))+1))/30.4</f>
        <v>0</v>
      </c>
      <c r="AA65" s="17" t="n">
        <f aca="false">$H65*MAX(0,(MIN($G65,DATE(2026,11,30))-MAX($E65,DATE(2026,11,1))+1))/30.4</f>
        <v>0</v>
      </c>
      <c r="AB65" s="17" t="n">
        <f aca="false">$H65*MAX(0,(MIN($G65,DATE(2026,12,31))-MAX($E65,DATE(2026,12,1))+1))/30.4</f>
        <v>0</v>
      </c>
    </row>
    <row r="66" customFormat="false" ht="15" hidden="false" customHeight="false" outlineLevel="0" collapsed="false">
      <c r="A66" s="10" t="n">
        <v>16</v>
      </c>
      <c r="B66" s="10" t="n">
        <v>5</v>
      </c>
      <c r="C66" s="10"/>
      <c r="D66" s="10" t="s">
        <v>76</v>
      </c>
      <c r="E66" s="12" t="n">
        <v>46202</v>
      </c>
      <c r="F66" s="10" t="n">
        <v>5</v>
      </c>
      <c r="G66" s="12" t="n">
        <v>46237</v>
      </c>
      <c r="H66" s="13" t="n">
        <v>1</v>
      </c>
      <c r="I66" s="10" t="s">
        <v>113</v>
      </c>
      <c r="J66" s="14" t="str">
        <f aca="false">IFERROR(VLOOKUP(D66,Role_Mapping!$A$5:$D$31,2,FALSE()),"UNMAPPED")</f>
        <v>Senior Software Engineer</v>
      </c>
      <c r="K66" s="14" t="str">
        <f aca="false">IFERROR(VLOOKUP(D66,Role_Mapping!$A$5:$D$31,3,FALSE()),"IN")</f>
        <v>IN</v>
      </c>
      <c r="L66" s="15" t="n">
        <f aca="false">IFERROR(SUMPRODUCT((Rate_Card!$A$5:$A$34=J66)*(Rate_Card!$B$5:$B$34=K66)*Rate_Card!$C$5:$C$34),0)</f>
        <v>585</v>
      </c>
      <c r="M66" s="10" t="n">
        <f aca="false">F66*5</f>
        <v>25</v>
      </c>
      <c r="N66" s="16" t="n">
        <f aca="false">L66*M66*H66</f>
        <v>14625</v>
      </c>
      <c r="O66" s="10" t="n">
        <f aca="false">(G66-E66)+1</f>
        <v>36</v>
      </c>
      <c r="P66" s="14" t="str">
        <f aca="false">IFERROR(VLOOKUP(D66,Role_Mapping!$A$5:$D$31,4,FALSE()),"UNMAPPED")</f>
        <v>Full Stack</v>
      </c>
      <c r="Q66" s="16" t="n">
        <f aca="false">$N66*MAX(0,(MIN($G66,DATE(2026,7,31))-MAX($E66,DATE(2026,7,1))+1))/$O66</f>
        <v>12593.75</v>
      </c>
      <c r="R66" s="16" t="n">
        <f aca="false">$N66*MAX(0,(MIN($G66,DATE(2026,8,31))-MAX($E66,DATE(2026,8,1))+1))/$O66</f>
        <v>1218.75</v>
      </c>
      <c r="S66" s="16" t="n">
        <f aca="false">$N66*MAX(0,(MIN($G66,DATE(2026,9,30))-MAX($E66,DATE(2026,9,1))+1))/$O66</f>
        <v>0</v>
      </c>
      <c r="T66" s="16" t="n">
        <f aca="false">$N66*MAX(0,(MIN($G66,DATE(2026,10,31))-MAX($E66,DATE(2026,10,1))+1))/$O66</f>
        <v>0</v>
      </c>
      <c r="U66" s="16" t="n">
        <f aca="false">$N66*MAX(0,(MIN($G66,DATE(2026,11,30))-MAX($E66,DATE(2026,11,1))+1))/$O66</f>
        <v>0</v>
      </c>
      <c r="V66" s="16" t="n">
        <f aca="false">$N66*MAX(0,(MIN($G66,DATE(2026,12,31))-MAX($E66,DATE(2026,12,1))+1))/$O66</f>
        <v>0</v>
      </c>
      <c r="W66" s="17" t="n">
        <f aca="false">$H66*MAX(0,(MIN($G66,DATE(2026,7,31))-MAX($E66,DATE(2026,7,1))+1))/30.4</f>
        <v>1.01973684210526</v>
      </c>
      <c r="X66" s="17" t="n">
        <f aca="false">$H66*MAX(0,(MIN($G66,DATE(2026,8,31))-MAX($E66,DATE(2026,8,1))+1))/30.4</f>
        <v>0.0986842105263158</v>
      </c>
      <c r="Y66" s="17" t="n">
        <f aca="false">$H66*MAX(0,(MIN($G66,DATE(2026,9,30))-MAX($E66,DATE(2026,9,1))+1))/30.4</f>
        <v>0</v>
      </c>
      <c r="Z66" s="17" t="n">
        <f aca="false">$H66*MAX(0,(MIN($G66,DATE(2026,10,31))-MAX($E66,DATE(2026,10,1))+1))/30.4</f>
        <v>0</v>
      </c>
      <c r="AA66" s="17" t="n">
        <f aca="false">$H66*MAX(0,(MIN($G66,DATE(2026,11,30))-MAX($E66,DATE(2026,11,1))+1))/30.4</f>
        <v>0</v>
      </c>
      <c r="AB66" s="17" t="n">
        <f aca="false">$H66*MAX(0,(MIN($G66,DATE(2026,12,31))-MAX($E66,DATE(2026,12,1))+1))/30.4</f>
        <v>0</v>
      </c>
    </row>
    <row r="67" customFormat="false" ht="15" hidden="false" customHeight="false" outlineLevel="0" collapsed="false">
      <c r="A67" s="10" t="n">
        <v>17</v>
      </c>
      <c r="B67" s="10" t="n">
        <v>5</v>
      </c>
      <c r="C67" s="10"/>
      <c r="D67" s="10" t="s">
        <v>75</v>
      </c>
      <c r="E67" s="12" t="n">
        <v>46202</v>
      </c>
      <c r="F67" s="10" t="n">
        <v>5</v>
      </c>
      <c r="G67" s="12" t="n">
        <v>46237</v>
      </c>
      <c r="H67" s="13" t="n">
        <v>1</v>
      </c>
      <c r="I67" s="10" t="s">
        <v>113</v>
      </c>
      <c r="J67" s="14" t="str">
        <f aca="false">IFERROR(VLOOKUP(D67,Role_Mapping!$A$5:$D$31,2,FALSE()),"UNMAPPED")</f>
        <v>Software Engineer</v>
      </c>
      <c r="K67" s="14" t="str">
        <f aca="false">IFERROR(VLOOKUP(D67,Role_Mapping!$A$5:$D$31,3,FALSE()),"IN")</f>
        <v>IN</v>
      </c>
      <c r="L67" s="15" t="n">
        <f aca="false">IFERROR(SUMPRODUCT((Rate_Card!$A$5:$A$34=J67)*(Rate_Card!$B$5:$B$34=K67)*Rate_Card!$C$5:$C$34),0)</f>
        <v>455</v>
      </c>
      <c r="M67" s="10" t="n">
        <f aca="false">F67*5</f>
        <v>25</v>
      </c>
      <c r="N67" s="16" t="n">
        <f aca="false">L67*M67*H67</f>
        <v>11375</v>
      </c>
      <c r="O67" s="10" t="n">
        <f aca="false">(G67-E67)+1</f>
        <v>36</v>
      </c>
      <c r="P67" s="14" t="str">
        <f aca="false">IFERROR(VLOOKUP(D67,Role_Mapping!$A$5:$D$31,4,FALSE()),"UNMAPPED")</f>
        <v>Full Stack</v>
      </c>
      <c r="Q67" s="16" t="n">
        <f aca="false">$N67*MAX(0,(MIN($G67,DATE(2026,7,31))-MAX($E67,DATE(2026,7,1))+1))/$O67</f>
        <v>9795.13888888889</v>
      </c>
      <c r="R67" s="16" t="n">
        <f aca="false">$N67*MAX(0,(MIN($G67,DATE(2026,8,31))-MAX($E67,DATE(2026,8,1))+1))/$O67</f>
        <v>947.916666666667</v>
      </c>
      <c r="S67" s="16" t="n">
        <f aca="false">$N67*MAX(0,(MIN($G67,DATE(2026,9,30))-MAX($E67,DATE(2026,9,1))+1))/$O67</f>
        <v>0</v>
      </c>
      <c r="T67" s="16" t="n">
        <f aca="false">$N67*MAX(0,(MIN($G67,DATE(2026,10,31))-MAX($E67,DATE(2026,10,1))+1))/$O67</f>
        <v>0</v>
      </c>
      <c r="U67" s="16" t="n">
        <f aca="false">$N67*MAX(0,(MIN($G67,DATE(2026,11,30))-MAX($E67,DATE(2026,11,1))+1))/$O67</f>
        <v>0</v>
      </c>
      <c r="V67" s="16" t="n">
        <f aca="false">$N67*MAX(0,(MIN($G67,DATE(2026,12,31))-MAX($E67,DATE(2026,12,1))+1))/$O67</f>
        <v>0</v>
      </c>
      <c r="W67" s="17" t="n">
        <f aca="false">$H67*MAX(0,(MIN($G67,DATE(2026,7,31))-MAX($E67,DATE(2026,7,1))+1))/30.4</f>
        <v>1.01973684210526</v>
      </c>
      <c r="X67" s="17" t="n">
        <f aca="false">$H67*MAX(0,(MIN($G67,DATE(2026,8,31))-MAX($E67,DATE(2026,8,1))+1))/30.4</f>
        <v>0.0986842105263158</v>
      </c>
      <c r="Y67" s="17" t="n">
        <f aca="false">$H67*MAX(0,(MIN($G67,DATE(2026,9,30))-MAX($E67,DATE(2026,9,1))+1))/30.4</f>
        <v>0</v>
      </c>
      <c r="Z67" s="17" t="n">
        <f aca="false">$H67*MAX(0,(MIN($G67,DATE(2026,10,31))-MAX($E67,DATE(2026,10,1))+1))/30.4</f>
        <v>0</v>
      </c>
      <c r="AA67" s="17" t="n">
        <f aca="false">$H67*MAX(0,(MIN($G67,DATE(2026,11,30))-MAX($E67,DATE(2026,11,1))+1))/30.4</f>
        <v>0</v>
      </c>
      <c r="AB67" s="17" t="n">
        <f aca="false">$H67*MAX(0,(MIN($G67,DATE(2026,12,31))-MAX($E67,DATE(2026,12,1))+1))/30.4</f>
        <v>0</v>
      </c>
    </row>
    <row r="68" customFormat="false" ht="15" hidden="false" customHeight="false" outlineLevel="0" collapsed="false">
      <c r="A68" s="10" t="n">
        <v>18</v>
      </c>
      <c r="B68" s="10" t="n">
        <v>2</v>
      </c>
      <c r="C68" s="10" t="s">
        <v>127</v>
      </c>
      <c r="D68" s="10" t="s">
        <v>76</v>
      </c>
      <c r="E68" s="12" t="n">
        <v>46202</v>
      </c>
      <c r="F68" s="10" t="n">
        <v>5</v>
      </c>
      <c r="G68" s="12" t="n">
        <v>46237</v>
      </c>
      <c r="H68" s="13" t="n">
        <v>1</v>
      </c>
      <c r="I68" s="10" t="s">
        <v>113</v>
      </c>
      <c r="J68" s="14" t="str">
        <f aca="false">IFERROR(VLOOKUP(D68,Role_Mapping!$A$5:$D$31,2,FALSE()),"UNMAPPED")</f>
        <v>Senior Software Engineer</v>
      </c>
      <c r="K68" s="14" t="str">
        <f aca="false">IFERROR(VLOOKUP(D68,Role_Mapping!$A$5:$D$31,3,FALSE()),"IN")</f>
        <v>IN</v>
      </c>
      <c r="L68" s="15" t="n">
        <f aca="false">IFERROR(SUMPRODUCT((Rate_Card!$A$5:$A$34=J68)*(Rate_Card!$B$5:$B$34=K68)*Rate_Card!$C$5:$C$34),0)</f>
        <v>585</v>
      </c>
      <c r="M68" s="10" t="n">
        <f aca="false">F68*5</f>
        <v>25</v>
      </c>
      <c r="N68" s="16" t="n">
        <f aca="false">L68*M68*H68</f>
        <v>14625</v>
      </c>
      <c r="O68" s="10" t="n">
        <f aca="false">(G68-E68)+1</f>
        <v>36</v>
      </c>
      <c r="P68" s="14" t="str">
        <f aca="false">IFERROR(VLOOKUP(D68,Role_Mapping!$A$5:$D$31,4,FALSE()),"UNMAPPED")</f>
        <v>Full Stack</v>
      </c>
      <c r="Q68" s="16" t="n">
        <f aca="false">$N68*MAX(0,(MIN($G68,DATE(2026,7,31))-MAX($E68,DATE(2026,7,1))+1))/$O68</f>
        <v>12593.75</v>
      </c>
      <c r="R68" s="16" t="n">
        <f aca="false">$N68*MAX(0,(MIN($G68,DATE(2026,8,31))-MAX($E68,DATE(2026,8,1))+1))/$O68</f>
        <v>1218.75</v>
      </c>
      <c r="S68" s="16" t="n">
        <f aca="false">$N68*MAX(0,(MIN($G68,DATE(2026,9,30))-MAX($E68,DATE(2026,9,1))+1))/$O68</f>
        <v>0</v>
      </c>
      <c r="T68" s="16" t="n">
        <f aca="false">$N68*MAX(0,(MIN($G68,DATE(2026,10,31))-MAX($E68,DATE(2026,10,1))+1))/$O68</f>
        <v>0</v>
      </c>
      <c r="U68" s="16" t="n">
        <f aca="false">$N68*MAX(0,(MIN($G68,DATE(2026,11,30))-MAX($E68,DATE(2026,11,1))+1))/$O68</f>
        <v>0</v>
      </c>
      <c r="V68" s="16" t="n">
        <f aca="false">$N68*MAX(0,(MIN($G68,DATE(2026,12,31))-MAX($E68,DATE(2026,12,1))+1))/$O68</f>
        <v>0</v>
      </c>
      <c r="W68" s="17" t="n">
        <f aca="false">$H68*MAX(0,(MIN($G68,DATE(2026,7,31))-MAX($E68,DATE(2026,7,1))+1))/30.4</f>
        <v>1.01973684210526</v>
      </c>
      <c r="X68" s="17" t="n">
        <f aca="false">$H68*MAX(0,(MIN($G68,DATE(2026,8,31))-MAX($E68,DATE(2026,8,1))+1))/30.4</f>
        <v>0.0986842105263158</v>
      </c>
      <c r="Y68" s="17" t="n">
        <f aca="false">$H68*MAX(0,(MIN($G68,DATE(2026,9,30))-MAX($E68,DATE(2026,9,1))+1))/30.4</f>
        <v>0</v>
      </c>
      <c r="Z68" s="17" t="n">
        <f aca="false">$H68*MAX(0,(MIN($G68,DATE(2026,10,31))-MAX($E68,DATE(2026,10,1))+1))/30.4</f>
        <v>0</v>
      </c>
      <c r="AA68" s="17" t="n">
        <f aca="false">$H68*MAX(0,(MIN($G68,DATE(2026,11,30))-MAX($E68,DATE(2026,11,1))+1))/30.4</f>
        <v>0</v>
      </c>
      <c r="AB68" s="17" t="n">
        <f aca="false">$H68*MAX(0,(MIN($G68,DATE(2026,12,31))-MAX($E68,DATE(2026,12,1))+1))/30.4</f>
        <v>0</v>
      </c>
    </row>
    <row r="69" customFormat="false" ht="15" hidden="false" customHeight="false" outlineLevel="0" collapsed="false">
      <c r="A69" s="10" t="n">
        <v>19</v>
      </c>
      <c r="B69" s="10" t="n">
        <v>5</v>
      </c>
      <c r="C69" s="10" t="s">
        <v>128</v>
      </c>
      <c r="D69" s="10" t="s">
        <v>62</v>
      </c>
      <c r="E69" s="12" t="n">
        <v>46195</v>
      </c>
      <c r="F69" s="10" t="n">
        <v>12</v>
      </c>
      <c r="G69" s="12" t="n">
        <v>46279</v>
      </c>
      <c r="H69" s="13" t="n">
        <v>0.5</v>
      </c>
      <c r="I69" s="10" t="s">
        <v>123</v>
      </c>
      <c r="J69" s="14" t="str">
        <f aca="false">IFERROR(VLOOKUP(D69,Role_Mapping!$A$5:$D$31,2,FALSE()),"UNMAPPED")</f>
        <v>Associate Partner</v>
      </c>
      <c r="K69" s="14" t="str">
        <f aca="false">IFERROR(VLOOKUP(D69,Role_Mapping!$A$5:$D$31,3,FALSE()),"IN")</f>
        <v>UK</v>
      </c>
      <c r="L69" s="15" t="n">
        <f aca="false">IFERROR(SUMPRODUCT((Rate_Card!$A$5:$A$34=J69)*(Rate_Card!$B$5:$B$34=K69)*Rate_Card!$C$5:$C$34),0)</f>
        <v>3526</v>
      </c>
      <c r="M69" s="10" t="n">
        <f aca="false">F69*5</f>
        <v>60</v>
      </c>
      <c r="N69" s="16" t="n">
        <f aca="false">L69*M69*H69</f>
        <v>105780</v>
      </c>
      <c r="O69" s="10" t="n">
        <f aca="false">(G69-E69)+1</f>
        <v>85</v>
      </c>
      <c r="P69" s="14" t="str">
        <f aca="false">IFERROR(VLOOKUP(D69,Role_Mapping!$A$5:$D$31,4,FALSE()),"UNMAPPED")</f>
        <v>GTM</v>
      </c>
      <c r="Q69" s="16" t="n">
        <f aca="false">$N69*MAX(0,(MIN($G69,DATE(2026,7,31))-MAX($E69,DATE(2026,7,1))+1))/$O69</f>
        <v>38578.5882352941</v>
      </c>
      <c r="R69" s="16" t="n">
        <f aca="false">$N69*MAX(0,(MIN($G69,DATE(2026,8,31))-MAX($E69,DATE(2026,8,1))+1))/$O69</f>
        <v>38578.5882352941</v>
      </c>
      <c r="S69" s="16" t="n">
        <f aca="false">$N69*MAX(0,(MIN($G69,DATE(2026,9,30))-MAX($E69,DATE(2026,9,1))+1))/$O69</f>
        <v>17422.5882352941</v>
      </c>
      <c r="T69" s="16" t="n">
        <f aca="false">$N69*MAX(0,(MIN($G69,DATE(2026,10,31))-MAX($E69,DATE(2026,10,1))+1))/$O69</f>
        <v>0</v>
      </c>
      <c r="U69" s="16" t="n">
        <f aca="false">$N69*MAX(0,(MIN($G69,DATE(2026,11,30))-MAX($E69,DATE(2026,11,1))+1))/$O69</f>
        <v>0</v>
      </c>
      <c r="V69" s="16" t="n">
        <f aca="false">$N69*MAX(0,(MIN($G69,DATE(2026,12,31))-MAX($E69,DATE(2026,12,1))+1))/$O69</f>
        <v>0</v>
      </c>
      <c r="W69" s="17" t="n">
        <f aca="false">$H69*MAX(0,(MIN($G69,DATE(2026,7,31))-MAX($E69,DATE(2026,7,1))+1))/30.4</f>
        <v>0.509868421052632</v>
      </c>
      <c r="X69" s="17" t="n">
        <f aca="false">$H69*MAX(0,(MIN($G69,DATE(2026,8,31))-MAX($E69,DATE(2026,8,1))+1))/30.4</f>
        <v>0.509868421052632</v>
      </c>
      <c r="Y69" s="17" t="n">
        <f aca="false">$H69*MAX(0,(MIN($G69,DATE(2026,9,30))-MAX($E69,DATE(2026,9,1))+1))/30.4</f>
        <v>0.230263157894737</v>
      </c>
      <c r="Z69" s="17" t="n">
        <f aca="false">$H69*MAX(0,(MIN($G69,DATE(2026,10,31))-MAX($E69,DATE(2026,10,1))+1))/30.4</f>
        <v>0</v>
      </c>
      <c r="AA69" s="17" t="n">
        <f aca="false">$H69*MAX(0,(MIN($G69,DATE(2026,11,30))-MAX($E69,DATE(2026,11,1))+1))/30.4</f>
        <v>0</v>
      </c>
      <c r="AB69" s="17" t="n">
        <f aca="false">$H69*MAX(0,(MIN($G69,DATE(2026,12,31))-MAX($E69,DATE(2026,12,1))+1))/30.4</f>
        <v>0</v>
      </c>
    </row>
    <row r="70" customFormat="false" ht="15" hidden="false" customHeight="false" outlineLevel="0" collapsed="false">
      <c r="A70" s="10" t="n">
        <v>20</v>
      </c>
      <c r="B70" s="10" t="n">
        <v>5</v>
      </c>
      <c r="C70" s="10"/>
      <c r="D70" s="10" t="s">
        <v>53</v>
      </c>
      <c r="E70" s="12" t="n">
        <v>46195</v>
      </c>
      <c r="F70" s="10" t="n">
        <v>5</v>
      </c>
      <c r="G70" s="12" t="n">
        <v>46230</v>
      </c>
      <c r="H70" s="13" t="n">
        <v>0.5</v>
      </c>
      <c r="I70" s="10" t="s">
        <v>113</v>
      </c>
      <c r="J70" s="14" t="str">
        <f aca="false">IFERROR(VLOOKUP(D70,Role_Mapping!$A$5:$D$31,2,FALSE()),"UNMAPPED")</f>
        <v>Consultant</v>
      </c>
      <c r="K70" s="14" t="str">
        <f aca="false">IFERROR(VLOOKUP(D70,Role_Mapping!$A$5:$D$31,3,FALSE()),"IN")</f>
        <v>IN</v>
      </c>
      <c r="L70" s="15" t="n">
        <f aca="false">IFERROR(SUMPRODUCT((Rate_Card!$A$5:$A$34=J70)*(Rate_Card!$B$5:$B$34=K70)*Rate_Card!$C$5:$C$34),0)</f>
        <v>683</v>
      </c>
      <c r="M70" s="10" t="n">
        <f aca="false">F70*5</f>
        <v>25</v>
      </c>
      <c r="N70" s="16" t="n">
        <f aca="false">L70*M70*H70</f>
        <v>8537.5</v>
      </c>
      <c r="O70" s="10" t="n">
        <f aca="false">(G70-E70)+1</f>
        <v>36</v>
      </c>
      <c r="P70" s="14" t="str">
        <f aca="false">IFERROR(VLOOKUP(D70,Role_Mapping!$A$5:$D$31,4,FALSE()),"UNMAPPED")</f>
        <v>Consulting</v>
      </c>
      <c r="Q70" s="16" t="n">
        <f aca="false">$N70*MAX(0,(MIN($G70,DATE(2026,7,31))-MAX($E70,DATE(2026,7,1))+1))/$O70</f>
        <v>6403.125</v>
      </c>
      <c r="R70" s="16" t="n">
        <f aca="false">$N70*MAX(0,(MIN($G70,DATE(2026,8,31))-MAX($E70,DATE(2026,8,1))+1))/$O70</f>
        <v>0</v>
      </c>
      <c r="S70" s="16" t="n">
        <f aca="false">$N70*MAX(0,(MIN($G70,DATE(2026,9,30))-MAX($E70,DATE(2026,9,1))+1))/$O70</f>
        <v>0</v>
      </c>
      <c r="T70" s="16" t="n">
        <f aca="false">$N70*MAX(0,(MIN($G70,DATE(2026,10,31))-MAX($E70,DATE(2026,10,1))+1))/$O70</f>
        <v>0</v>
      </c>
      <c r="U70" s="16" t="n">
        <f aca="false">$N70*MAX(0,(MIN($G70,DATE(2026,11,30))-MAX($E70,DATE(2026,11,1))+1))/$O70</f>
        <v>0</v>
      </c>
      <c r="V70" s="16" t="n">
        <f aca="false">$N70*MAX(0,(MIN($G70,DATE(2026,12,31))-MAX($E70,DATE(2026,12,1))+1))/$O70</f>
        <v>0</v>
      </c>
      <c r="W70" s="17" t="n">
        <f aca="false">$H70*MAX(0,(MIN($G70,DATE(2026,7,31))-MAX($E70,DATE(2026,7,1))+1))/30.4</f>
        <v>0.444078947368421</v>
      </c>
      <c r="X70" s="17" t="n">
        <f aca="false">$H70*MAX(0,(MIN($G70,DATE(2026,8,31))-MAX($E70,DATE(2026,8,1))+1))/30.4</f>
        <v>0</v>
      </c>
      <c r="Y70" s="17" t="n">
        <f aca="false">$H70*MAX(0,(MIN($G70,DATE(2026,9,30))-MAX($E70,DATE(2026,9,1))+1))/30.4</f>
        <v>0</v>
      </c>
      <c r="Z70" s="17" t="n">
        <f aca="false">$H70*MAX(0,(MIN($G70,DATE(2026,10,31))-MAX($E70,DATE(2026,10,1))+1))/30.4</f>
        <v>0</v>
      </c>
      <c r="AA70" s="17" t="n">
        <f aca="false">$H70*MAX(0,(MIN($G70,DATE(2026,11,30))-MAX($E70,DATE(2026,11,1))+1))/30.4</f>
        <v>0</v>
      </c>
      <c r="AB70" s="17" t="n">
        <f aca="false">$H70*MAX(0,(MIN($G70,DATE(2026,12,31))-MAX($E70,DATE(2026,12,1))+1))/30.4</f>
        <v>0</v>
      </c>
    </row>
    <row r="71" customFormat="false" ht="15" hidden="false" customHeight="false" outlineLevel="0" collapsed="false">
      <c r="A71" s="10" t="n">
        <v>21</v>
      </c>
      <c r="B71" s="10" t="n">
        <v>5</v>
      </c>
      <c r="C71" s="10"/>
      <c r="D71" s="10" t="s">
        <v>64</v>
      </c>
      <c r="E71" s="12" t="n">
        <v>46195</v>
      </c>
      <c r="F71" s="10" t="n">
        <v>5</v>
      </c>
      <c r="G71" s="12" t="n">
        <v>46230</v>
      </c>
      <c r="H71" s="13" t="n">
        <v>0.25</v>
      </c>
      <c r="I71" s="10" t="s">
        <v>113</v>
      </c>
      <c r="J71" s="14" t="str">
        <f aca="false">IFERROR(VLOOKUP(D71,Role_Mapping!$A$5:$D$31,2,FALSE()),"UNMAPPED")</f>
        <v>Principal Technology Architect</v>
      </c>
      <c r="K71" s="14" t="str">
        <f aca="false">IFERROR(VLOOKUP(D71,Role_Mapping!$A$5:$D$31,3,FALSE()),"IN")</f>
        <v>IN</v>
      </c>
      <c r="L71" s="15" t="n">
        <f aca="false">IFERROR(SUMPRODUCT((Rate_Card!$A$5:$A$34=J71)*(Rate_Card!$B$5:$B$34=K71)*Rate_Card!$C$5:$C$34),0)</f>
        <v>845</v>
      </c>
      <c r="M71" s="10" t="n">
        <f aca="false">F71*5</f>
        <v>25</v>
      </c>
      <c r="N71" s="16" t="n">
        <f aca="false">L71*M71*H71</f>
        <v>5281.25</v>
      </c>
      <c r="O71" s="10" t="n">
        <f aca="false">(G71-E71)+1</f>
        <v>36</v>
      </c>
      <c r="P71" s="14" t="str">
        <f aca="false">IFERROR(VLOOKUP(D71,Role_Mapping!$A$5:$D$31,4,FALSE()),"UNMAPPED")</f>
        <v>Full Stack</v>
      </c>
      <c r="Q71" s="16" t="n">
        <f aca="false">$N71*MAX(0,(MIN($G71,DATE(2026,7,31))-MAX($E71,DATE(2026,7,1))+1))/$O71</f>
        <v>3960.9375</v>
      </c>
      <c r="R71" s="16" t="n">
        <f aca="false">$N71*MAX(0,(MIN($G71,DATE(2026,8,31))-MAX($E71,DATE(2026,8,1))+1))/$O71</f>
        <v>0</v>
      </c>
      <c r="S71" s="16" t="n">
        <f aca="false">$N71*MAX(0,(MIN($G71,DATE(2026,9,30))-MAX($E71,DATE(2026,9,1))+1))/$O71</f>
        <v>0</v>
      </c>
      <c r="T71" s="16" t="n">
        <f aca="false">$N71*MAX(0,(MIN($G71,DATE(2026,10,31))-MAX($E71,DATE(2026,10,1))+1))/$O71</f>
        <v>0</v>
      </c>
      <c r="U71" s="16" t="n">
        <f aca="false">$N71*MAX(0,(MIN($G71,DATE(2026,11,30))-MAX($E71,DATE(2026,11,1))+1))/$O71</f>
        <v>0</v>
      </c>
      <c r="V71" s="16" t="n">
        <f aca="false">$N71*MAX(0,(MIN($G71,DATE(2026,12,31))-MAX($E71,DATE(2026,12,1))+1))/$O71</f>
        <v>0</v>
      </c>
      <c r="W71" s="17" t="n">
        <f aca="false">$H71*MAX(0,(MIN($G71,DATE(2026,7,31))-MAX($E71,DATE(2026,7,1))+1))/30.4</f>
        <v>0.222039473684211</v>
      </c>
      <c r="X71" s="17" t="n">
        <f aca="false">$H71*MAX(0,(MIN($G71,DATE(2026,8,31))-MAX($E71,DATE(2026,8,1))+1))/30.4</f>
        <v>0</v>
      </c>
      <c r="Y71" s="17" t="n">
        <f aca="false">$H71*MAX(0,(MIN($G71,DATE(2026,9,30))-MAX($E71,DATE(2026,9,1))+1))/30.4</f>
        <v>0</v>
      </c>
      <c r="Z71" s="17" t="n">
        <f aca="false">$H71*MAX(0,(MIN($G71,DATE(2026,10,31))-MAX($E71,DATE(2026,10,1))+1))/30.4</f>
        <v>0</v>
      </c>
      <c r="AA71" s="17" t="n">
        <f aca="false">$H71*MAX(0,(MIN($G71,DATE(2026,11,30))-MAX($E71,DATE(2026,11,1))+1))/30.4</f>
        <v>0</v>
      </c>
      <c r="AB71" s="17" t="n">
        <f aca="false">$H71*MAX(0,(MIN($G71,DATE(2026,12,31))-MAX($E71,DATE(2026,12,1))+1))/30.4</f>
        <v>0</v>
      </c>
    </row>
    <row r="72" customFormat="false" ht="15" hidden="false" customHeight="false" outlineLevel="0" collapsed="false">
      <c r="A72" s="10" t="n">
        <v>22</v>
      </c>
      <c r="B72" s="10" t="n">
        <v>5</v>
      </c>
      <c r="C72" s="10"/>
      <c r="D72" s="10" t="s">
        <v>70</v>
      </c>
      <c r="E72" s="12" t="n">
        <v>46195</v>
      </c>
      <c r="F72" s="10" t="n">
        <v>5</v>
      </c>
      <c r="G72" s="12" t="n">
        <v>46230</v>
      </c>
      <c r="H72" s="13" t="n">
        <v>1</v>
      </c>
      <c r="I72" s="10" t="s">
        <v>113</v>
      </c>
      <c r="J72" s="14" t="str">
        <f aca="false">IFERROR(VLOOKUP(D72,Role_Mapping!$A$5:$D$31,2,FALSE()),"UNMAPPED")</f>
        <v>Senior Associate Consultant</v>
      </c>
      <c r="K72" s="14" t="str">
        <f aca="false">IFERROR(VLOOKUP(D72,Role_Mapping!$A$5:$D$31,3,FALSE()),"IN")</f>
        <v>IN</v>
      </c>
      <c r="L72" s="15" t="n">
        <f aca="false">IFERROR(SUMPRODUCT((Rate_Card!$A$5:$A$34=J72)*(Rate_Card!$B$5:$B$34=K72)*Rate_Card!$C$5:$C$34),0)</f>
        <v>683</v>
      </c>
      <c r="M72" s="10" t="n">
        <f aca="false">F72*5</f>
        <v>25</v>
      </c>
      <c r="N72" s="16" t="n">
        <f aca="false">L72*M72*H72</f>
        <v>17075</v>
      </c>
      <c r="O72" s="10" t="n">
        <f aca="false">(G72-E72)+1</f>
        <v>36</v>
      </c>
      <c r="P72" s="14" t="str">
        <f aca="false">IFERROR(VLOOKUP(D72,Role_Mapping!$A$5:$D$31,4,FALSE()),"UNMAPPED")</f>
        <v>Consulting</v>
      </c>
      <c r="Q72" s="16" t="n">
        <f aca="false">$N72*MAX(0,(MIN($G72,DATE(2026,7,31))-MAX($E72,DATE(2026,7,1))+1))/$O72</f>
        <v>12806.25</v>
      </c>
      <c r="R72" s="16" t="n">
        <f aca="false">$N72*MAX(0,(MIN($G72,DATE(2026,8,31))-MAX($E72,DATE(2026,8,1))+1))/$O72</f>
        <v>0</v>
      </c>
      <c r="S72" s="16" t="n">
        <f aca="false">$N72*MAX(0,(MIN($G72,DATE(2026,9,30))-MAX($E72,DATE(2026,9,1))+1))/$O72</f>
        <v>0</v>
      </c>
      <c r="T72" s="16" t="n">
        <f aca="false">$N72*MAX(0,(MIN($G72,DATE(2026,10,31))-MAX($E72,DATE(2026,10,1))+1))/$O72</f>
        <v>0</v>
      </c>
      <c r="U72" s="16" t="n">
        <f aca="false">$N72*MAX(0,(MIN($G72,DATE(2026,11,30))-MAX($E72,DATE(2026,11,1))+1))/$O72</f>
        <v>0</v>
      </c>
      <c r="V72" s="16" t="n">
        <f aca="false">$N72*MAX(0,(MIN($G72,DATE(2026,12,31))-MAX($E72,DATE(2026,12,1))+1))/$O72</f>
        <v>0</v>
      </c>
      <c r="W72" s="17" t="n">
        <f aca="false">$H72*MAX(0,(MIN($G72,DATE(2026,7,31))-MAX($E72,DATE(2026,7,1))+1))/30.4</f>
        <v>0.888157894736842</v>
      </c>
      <c r="X72" s="17" t="n">
        <f aca="false">$H72*MAX(0,(MIN($G72,DATE(2026,8,31))-MAX($E72,DATE(2026,8,1))+1))/30.4</f>
        <v>0</v>
      </c>
      <c r="Y72" s="17" t="n">
        <f aca="false">$H72*MAX(0,(MIN($G72,DATE(2026,9,30))-MAX($E72,DATE(2026,9,1))+1))/30.4</f>
        <v>0</v>
      </c>
      <c r="Z72" s="17" t="n">
        <f aca="false">$H72*MAX(0,(MIN($G72,DATE(2026,10,31))-MAX($E72,DATE(2026,10,1))+1))/30.4</f>
        <v>0</v>
      </c>
      <c r="AA72" s="17" t="n">
        <f aca="false">$H72*MAX(0,(MIN($G72,DATE(2026,11,30))-MAX($E72,DATE(2026,11,1))+1))/30.4</f>
        <v>0</v>
      </c>
      <c r="AB72" s="17" t="n">
        <f aca="false">$H72*MAX(0,(MIN($G72,DATE(2026,12,31))-MAX($E72,DATE(2026,12,1))+1))/30.4</f>
        <v>0</v>
      </c>
    </row>
    <row r="73" customFormat="false" ht="15" hidden="false" customHeight="false" outlineLevel="0" collapsed="false">
      <c r="A73" s="10" t="n">
        <v>23</v>
      </c>
      <c r="B73" s="10" t="n">
        <v>5</v>
      </c>
      <c r="C73" s="10"/>
      <c r="D73" s="10" t="s">
        <v>80</v>
      </c>
      <c r="E73" s="12" t="n">
        <v>46195</v>
      </c>
      <c r="F73" s="10" t="n">
        <v>5</v>
      </c>
      <c r="G73" s="12" t="n">
        <v>46230</v>
      </c>
      <c r="H73" s="13" t="n">
        <v>1</v>
      </c>
      <c r="I73" s="10" t="s">
        <v>113</v>
      </c>
      <c r="J73" s="14" t="str">
        <f aca="false">IFERROR(VLOOKUP(D73,Role_Mapping!$A$5:$D$31,2,FALSE()),"UNMAPPED")</f>
        <v>Solutions Consultant</v>
      </c>
      <c r="K73" s="14" t="str">
        <f aca="false">IFERROR(VLOOKUP(D73,Role_Mapping!$A$5:$D$31,3,FALSE()),"IN")</f>
        <v>IN</v>
      </c>
      <c r="L73" s="15" t="n">
        <f aca="false">IFERROR(SUMPRODUCT((Rate_Card!$A$5:$A$34=J73)*(Rate_Card!$B$5:$B$34=K73)*Rate_Card!$C$5:$C$34),0)</f>
        <v>683</v>
      </c>
      <c r="M73" s="10" t="n">
        <f aca="false">F73*5</f>
        <v>25</v>
      </c>
      <c r="N73" s="16" t="n">
        <f aca="false">L73*M73*H73</f>
        <v>17075</v>
      </c>
      <c r="O73" s="10" t="n">
        <f aca="false">(G73-E73)+1</f>
        <v>36</v>
      </c>
      <c r="P73" s="14" t="str">
        <f aca="false">IFERROR(VLOOKUP(D73,Role_Mapping!$A$5:$D$31,4,FALSE()),"UNMAPPED")</f>
        <v>Power BI &amp; Consulting</v>
      </c>
      <c r="Q73" s="16" t="n">
        <f aca="false">$N73*MAX(0,(MIN($G73,DATE(2026,7,31))-MAX($E73,DATE(2026,7,1))+1))/$O73</f>
        <v>12806.25</v>
      </c>
      <c r="R73" s="16" t="n">
        <f aca="false">$N73*MAX(0,(MIN($G73,DATE(2026,8,31))-MAX($E73,DATE(2026,8,1))+1))/$O73</f>
        <v>0</v>
      </c>
      <c r="S73" s="16" t="n">
        <f aca="false">$N73*MAX(0,(MIN($G73,DATE(2026,9,30))-MAX($E73,DATE(2026,9,1))+1))/$O73</f>
        <v>0</v>
      </c>
      <c r="T73" s="16" t="n">
        <f aca="false">$N73*MAX(0,(MIN($G73,DATE(2026,10,31))-MAX($E73,DATE(2026,10,1))+1))/$O73</f>
        <v>0</v>
      </c>
      <c r="U73" s="16" t="n">
        <f aca="false">$N73*MAX(0,(MIN($G73,DATE(2026,11,30))-MAX($E73,DATE(2026,11,1))+1))/$O73</f>
        <v>0</v>
      </c>
      <c r="V73" s="16" t="n">
        <f aca="false">$N73*MAX(0,(MIN($G73,DATE(2026,12,31))-MAX($E73,DATE(2026,12,1))+1))/$O73</f>
        <v>0</v>
      </c>
      <c r="W73" s="17" t="n">
        <f aca="false">$H73*MAX(0,(MIN($G73,DATE(2026,7,31))-MAX($E73,DATE(2026,7,1))+1))/30.4</f>
        <v>0.888157894736842</v>
      </c>
      <c r="X73" s="17" t="n">
        <f aca="false">$H73*MAX(0,(MIN($G73,DATE(2026,8,31))-MAX($E73,DATE(2026,8,1))+1))/30.4</f>
        <v>0</v>
      </c>
      <c r="Y73" s="17" t="n">
        <f aca="false">$H73*MAX(0,(MIN($G73,DATE(2026,9,30))-MAX($E73,DATE(2026,9,1))+1))/30.4</f>
        <v>0</v>
      </c>
      <c r="Z73" s="17" t="n">
        <f aca="false">$H73*MAX(0,(MIN($G73,DATE(2026,10,31))-MAX($E73,DATE(2026,10,1))+1))/30.4</f>
        <v>0</v>
      </c>
      <c r="AA73" s="17" t="n">
        <f aca="false">$H73*MAX(0,(MIN($G73,DATE(2026,11,30))-MAX($E73,DATE(2026,11,1))+1))/30.4</f>
        <v>0</v>
      </c>
      <c r="AB73" s="17" t="n">
        <f aca="false">$H73*MAX(0,(MIN($G73,DATE(2026,12,31))-MAX($E73,DATE(2026,12,1))+1))/30.4</f>
        <v>0</v>
      </c>
    </row>
    <row r="74" customFormat="false" ht="15" hidden="false" customHeight="false" outlineLevel="0" collapsed="false">
      <c r="A74" s="10" t="n">
        <v>24</v>
      </c>
      <c r="B74" s="10" t="n">
        <v>5</v>
      </c>
      <c r="C74" s="10"/>
      <c r="D74" s="10" t="s">
        <v>76</v>
      </c>
      <c r="E74" s="12" t="n">
        <v>46195</v>
      </c>
      <c r="F74" s="10" t="n">
        <v>5</v>
      </c>
      <c r="G74" s="12" t="n">
        <v>46230</v>
      </c>
      <c r="H74" s="13" t="n">
        <v>1</v>
      </c>
      <c r="I74" s="10" t="s">
        <v>113</v>
      </c>
      <c r="J74" s="14" t="str">
        <f aca="false">IFERROR(VLOOKUP(D74,Role_Mapping!$A$5:$D$31,2,FALSE()),"UNMAPPED")</f>
        <v>Senior Software Engineer</v>
      </c>
      <c r="K74" s="14" t="str">
        <f aca="false">IFERROR(VLOOKUP(D74,Role_Mapping!$A$5:$D$31,3,FALSE()),"IN")</f>
        <v>IN</v>
      </c>
      <c r="L74" s="15" t="n">
        <f aca="false">IFERROR(SUMPRODUCT((Rate_Card!$A$5:$A$34=J74)*(Rate_Card!$B$5:$B$34=K74)*Rate_Card!$C$5:$C$34),0)</f>
        <v>585</v>
      </c>
      <c r="M74" s="10" t="n">
        <f aca="false">F74*5</f>
        <v>25</v>
      </c>
      <c r="N74" s="16" t="n">
        <f aca="false">L74*M74*H74</f>
        <v>14625</v>
      </c>
      <c r="O74" s="10" t="n">
        <f aca="false">(G74-E74)+1</f>
        <v>36</v>
      </c>
      <c r="P74" s="14" t="str">
        <f aca="false">IFERROR(VLOOKUP(D74,Role_Mapping!$A$5:$D$31,4,FALSE()),"UNMAPPED")</f>
        <v>Full Stack</v>
      </c>
      <c r="Q74" s="16" t="n">
        <f aca="false">$N74*MAX(0,(MIN($G74,DATE(2026,7,31))-MAX($E74,DATE(2026,7,1))+1))/$O74</f>
        <v>10968.75</v>
      </c>
      <c r="R74" s="16" t="n">
        <f aca="false">$N74*MAX(0,(MIN($G74,DATE(2026,8,31))-MAX($E74,DATE(2026,8,1))+1))/$O74</f>
        <v>0</v>
      </c>
      <c r="S74" s="16" t="n">
        <f aca="false">$N74*MAX(0,(MIN($G74,DATE(2026,9,30))-MAX($E74,DATE(2026,9,1))+1))/$O74</f>
        <v>0</v>
      </c>
      <c r="T74" s="16" t="n">
        <f aca="false">$N74*MAX(0,(MIN($G74,DATE(2026,10,31))-MAX($E74,DATE(2026,10,1))+1))/$O74</f>
        <v>0</v>
      </c>
      <c r="U74" s="16" t="n">
        <f aca="false">$N74*MAX(0,(MIN($G74,DATE(2026,11,30))-MAX($E74,DATE(2026,11,1))+1))/$O74</f>
        <v>0</v>
      </c>
      <c r="V74" s="16" t="n">
        <f aca="false">$N74*MAX(0,(MIN($G74,DATE(2026,12,31))-MAX($E74,DATE(2026,12,1))+1))/$O74</f>
        <v>0</v>
      </c>
      <c r="W74" s="17" t="n">
        <f aca="false">$H74*MAX(0,(MIN($G74,DATE(2026,7,31))-MAX($E74,DATE(2026,7,1))+1))/30.4</f>
        <v>0.888157894736842</v>
      </c>
      <c r="X74" s="17" t="n">
        <f aca="false">$H74*MAX(0,(MIN($G74,DATE(2026,8,31))-MAX($E74,DATE(2026,8,1))+1))/30.4</f>
        <v>0</v>
      </c>
      <c r="Y74" s="17" t="n">
        <f aca="false">$H74*MAX(0,(MIN($G74,DATE(2026,9,30))-MAX($E74,DATE(2026,9,1))+1))/30.4</f>
        <v>0</v>
      </c>
      <c r="Z74" s="17" t="n">
        <f aca="false">$H74*MAX(0,(MIN($G74,DATE(2026,10,31))-MAX($E74,DATE(2026,10,1))+1))/30.4</f>
        <v>0</v>
      </c>
      <c r="AA74" s="17" t="n">
        <f aca="false">$H74*MAX(0,(MIN($G74,DATE(2026,11,30))-MAX($E74,DATE(2026,11,1))+1))/30.4</f>
        <v>0</v>
      </c>
      <c r="AB74" s="17" t="n">
        <f aca="false">$H74*MAX(0,(MIN($G74,DATE(2026,12,31))-MAX($E74,DATE(2026,12,1))+1))/30.4</f>
        <v>0</v>
      </c>
    </row>
    <row r="75" customFormat="false" ht="15" hidden="false" customHeight="false" outlineLevel="0" collapsed="false">
      <c r="A75" s="10" t="n">
        <v>25</v>
      </c>
      <c r="B75" s="10" t="n">
        <v>5</v>
      </c>
      <c r="C75" s="10"/>
      <c r="D75" s="10" t="s">
        <v>75</v>
      </c>
      <c r="E75" s="12" t="n">
        <v>46195</v>
      </c>
      <c r="F75" s="10" t="n">
        <v>5</v>
      </c>
      <c r="G75" s="12" t="n">
        <v>46230</v>
      </c>
      <c r="H75" s="13" t="n">
        <v>1</v>
      </c>
      <c r="I75" s="10" t="s">
        <v>113</v>
      </c>
      <c r="J75" s="14" t="str">
        <f aca="false">IFERROR(VLOOKUP(D75,Role_Mapping!$A$5:$D$31,2,FALSE()),"UNMAPPED")</f>
        <v>Software Engineer</v>
      </c>
      <c r="K75" s="14" t="str">
        <f aca="false">IFERROR(VLOOKUP(D75,Role_Mapping!$A$5:$D$31,3,FALSE()),"IN")</f>
        <v>IN</v>
      </c>
      <c r="L75" s="15" t="n">
        <f aca="false">IFERROR(SUMPRODUCT((Rate_Card!$A$5:$A$34=J75)*(Rate_Card!$B$5:$B$34=K75)*Rate_Card!$C$5:$C$34),0)</f>
        <v>455</v>
      </c>
      <c r="M75" s="10" t="n">
        <f aca="false">F75*5</f>
        <v>25</v>
      </c>
      <c r="N75" s="16" t="n">
        <f aca="false">L75*M75*H75</f>
        <v>11375</v>
      </c>
      <c r="O75" s="10" t="n">
        <f aca="false">(G75-E75)+1</f>
        <v>36</v>
      </c>
      <c r="P75" s="14" t="str">
        <f aca="false">IFERROR(VLOOKUP(D75,Role_Mapping!$A$5:$D$31,4,FALSE()),"UNMAPPED")</f>
        <v>Full Stack</v>
      </c>
      <c r="Q75" s="16" t="n">
        <f aca="false">$N75*MAX(0,(MIN($G75,DATE(2026,7,31))-MAX($E75,DATE(2026,7,1))+1))/$O75</f>
        <v>8531.25</v>
      </c>
      <c r="R75" s="16" t="n">
        <f aca="false">$N75*MAX(0,(MIN($G75,DATE(2026,8,31))-MAX($E75,DATE(2026,8,1))+1))/$O75</f>
        <v>0</v>
      </c>
      <c r="S75" s="16" t="n">
        <f aca="false">$N75*MAX(0,(MIN($G75,DATE(2026,9,30))-MAX($E75,DATE(2026,9,1))+1))/$O75</f>
        <v>0</v>
      </c>
      <c r="T75" s="16" t="n">
        <f aca="false">$N75*MAX(0,(MIN($G75,DATE(2026,10,31))-MAX($E75,DATE(2026,10,1))+1))/$O75</f>
        <v>0</v>
      </c>
      <c r="U75" s="16" t="n">
        <f aca="false">$N75*MAX(0,(MIN($G75,DATE(2026,11,30))-MAX($E75,DATE(2026,11,1))+1))/$O75</f>
        <v>0</v>
      </c>
      <c r="V75" s="16" t="n">
        <f aca="false">$N75*MAX(0,(MIN($G75,DATE(2026,12,31))-MAX($E75,DATE(2026,12,1))+1))/$O75</f>
        <v>0</v>
      </c>
      <c r="W75" s="17" t="n">
        <f aca="false">$H75*MAX(0,(MIN($G75,DATE(2026,7,31))-MAX($E75,DATE(2026,7,1))+1))/30.4</f>
        <v>0.888157894736842</v>
      </c>
      <c r="X75" s="17" t="n">
        <f aca="false">$H75*MAX(0,(MIN($G75,DATE(2026,8,31))-MAX($E75,DATE(2026,8,1))+1))/30.4</f>
        <v>0</v>
      </c>
      <c r="Y75" s="17" t="n">
        <f aca="false">$H75*MAX(0,(MIN($G75,DATE(2026,9,30))-MAX($E75,DATE(2026,9,1))+1))/30.4</f>
        <v>0</v>
      </c>
      <c r="Z75" s="17" t="n">
        <f aca="false">$H75*MAX(0,(MIN($G75,DATE(2026,10,31))-MAX($E75,DATE(2026,10,1))+1))/30.4</f>
        <v>0</v>
      </c>
      <c r="AA75" s="17" t="n">
        <f aca="false">$H75*MAX(0,(MIN($G75,DATE(2026,11,30))-MAX($E75,DATE(2026,11,1))+1))/30.4</f>
        <v>0</v>
      </c>
      <c r="AB75" s="17" t="n">
        <f aca="false">$H75*MAX(0,(MIN($G75,DATE(2026,12,31))-MAX($E75,DATE(2026,12,1))+1))/30.4</f>
        <v>0</v>
      </c>
    </row>
    <row r="76" customFormat="false" ht="15" hidden="false" customHeight="false" outlineLevel="0" collapsed="false">
      <c r="A76" s="10" t="n">
        <v>26</v>
      </c>
      <c r="B76" s="10" t="n">
        <v>5</v>
      </c>
      <c r="C76" s="10" t="s">
        <v>129</v>
      </c>
      <c r="D76" s="10" t="s">
        <v>49</v>
      </c>
      <c r="E76" s="12" t="n">
        <v>46195</v>
      </c>
      <c r="F76" s="10" t="n">
        <v>5</v>
      </c>
      <c r="G76" s="12" t="n">
        <v>46230</v>
      </c>
      <c r="H76" s="13" t="n">
        <v>0.125</v>
      </c>
      <c r="I76" s="10" t="s">
        <v>126</v>
      </c>
      <c r="J76" s="14" t="str">
        <f aca="false">IFERROR(VLOOKUP(D76,Role_Mapping!$A$5:$D$31,2,FALSE()),"UNMAPPED")</f>
        <v>Associate Partner</v>
      </c>
      <c r="K76" s="14" t="str">
        <f aca="false">IFERROR(VLOOKUP(D76,Role_Mapping!$A$5:$D$31,3,FALSE()),"IN")</f>
        <v>UK</v>
      </c>
      <c r="L76" s="15" t="n">
        <f aca="false">IFERROR(SUMPRODUCT((Rate_Card!$A$5:$A$34=J76)*(Rate_Card!$B$5:$B$34=K76)*Rate_Card!$C$5:$C$34),0)</f>
        <v>3526</v>
      </c>
      <c r="M76" s="10" t="n">
        <f aca="false">F76*5</f>
        <v>25</v>
      </c>
      <c r="N76" s="16" t="n">
        <f aca="false">L76*M76*H76</f>
        <v>11018.75</v>
      </c>
      <c r="O76" s="10" t="n">
        <f aca="false">(G76-E76)+1</f>
        <v>36</v>
      </c>
      <c r="P76" s="14" t="str">
        <f aca="false">IFERROR(VLOOKUP(D76,Role_Mapping!$A$5:$D$31,4,FALSE()),"UNMAPPED")</f>
        <v>GTM</v>
      </c>
      <c r="Q76" s="16" t="n">
        <f aca="false">$N76*MAX(0,(MIN($G76,DATE(2026,7,31))-MAX($E76,DATE(2026,7,1))+1))/$O76</f>
        <v>8264.0625</v>
      </c>
      <c r="R76" s="16" t="n">
        <f aca="false">$N76*MAX(0,(MIN($G76,DATE(2026,8,31))-MAX($E76,DATE(2026,8,1))+1))/$O76</f>
        <v>0</v>
      </c>
      <c r="S76" s="16" t="n">
        <f aca="false">$N76*MAX(0,(MIN($G76,DATE(2026,9,30))-MAX($E76,DATE(2026,9,1))+1))/$O76</f>
        <v>0</v>
      </c>
      <c r="T76" s="16" t="n">
        <f aca="false">$N76*MAX(0,(MIN($G76,DATE(2026,10,31))-MAX($E76,DATE(2026,10,1))+1))/$O76</f>
        <v>0</v>
      </c>
      <c r="U76" s="16" t="n">
        <f aca="false">$N76*MAX(0,(MIN($G76,DATE(2026,11,30))-MAX($E76,DATE(2026,11,1))+1))/$O76</f>
        <v>0</v>
      </c>
      <c r="V76" s="16" t="n">
        <f aca="false">$N76*MAX(0,(MIN($G76,DATE(2026,12,31))-MAX($E76,DATE(2026,12,1))+1))/$O76</f>
        <v>0</v>
      </c>
      <c r="W76" s="17" t="n">
        <f aca="false">$H76*MAX(0,(MIN($G76,DATE(2026,7,31))-MAX($E76,DATE(2026,7,1))+1))/30.4</f>
        <v>0.111019736842105</v>
      </c>
      <c r="X76" s="17" t="n">
        <f aca="false">$H76*MAX(0,(MIN($G76,DATE(2026,8,31))-MAX($E76,DATE(2026,8,1))+1))/30.4</f>
        <v>0</v>
      </c>
      <c r="Y76" s="17" t="n">
        <f aca="false">$H76*MAX(0,(MIN($G76,DATE(2026,9,30))-MAX($E76,DATE(2026,9,1))+1))/30.4</f>
        <v>0</v>
      </c>
      <c r="Z76" s="17" t="n">
        <f aca="false">$H76*MAX(0,(MIN($G76,DATE(2026,10,31))-MAX($E76,DATE(2026,10,1))+1))/30.4</f>
        <v>0</v>
      </c>
      <c r="AA76" s="17" t="n">
        <f aca="false">$H76*MAX(0,(MIN($G76,DATE(2026,11,30))-MAX($E76,DATE(2026,11,1))+1))/30.4</f>
        <v>0</v>
      </c>
      <c r="AB76" s="17" t="n">
        <f aca="false">$H76*MAX(0,(MIN($G76,DATE(2026,12,31))-MAX($E76,DATE(2026,12,1))+1))/30.4</f>
        <v>0</v>
      </c>
    </row>
    <row r="77" customFormat="false" ht="15" hidden="false" customHeight="false" outlineLevel="0" collapsed="false">
      <c r="A77" s="10" t="n">
        <v>27</v>
      </c>
      <c r="B77" s="10" t="n">
        <v>5</v>
      </c>
      <c r="C77" s="10"/>
      <c r="D77" s="10" t="s">
        <v>61</v>
      </c>
      <c r="E77" s="12" t="n">
        <v>46195</v>
      </c>
      <c r="F77" s="10" t="n">
        <v>5</v>
      </c>
      <c r="G77" s="12" t="n">
        <v>46230</v>
      </c>
      <c r="H77" s="13" t="n">
        <v>0.5</v>
      </c>
      <c r="I77" s="10" t="s">
        <v>126</v>
      </c>
      <c r="J77" s="14" t="str">
        <f aca="false">IFERROR(VLOOKUP(D77,Role_Mapping!$A$5:$D$31,2,FALSE()),"UNMAPPED")</f>
        <v>Manager</v>
      </c>
      <c r="K77" s="14" t="str">
        <f aca="false">IFERROR(VLOOKUP(D77,Role_Mapping!$A$5:$D$31,3,FALSE()),"IN")</f>
        <v>UK</v>
      </c>
      <c r="L77" s="15" t="n">
        <f aca="false">IFERROR(SUMPRODUCT((Rate_Card!$A$5:$A$34=J77)*(Rate_Card!$B$5:$B$34=K77)*Rate_Card!$C$5:$C$34),0)</f>
        <v>2984</v>
      </c>
      <c r="M77" s="10" t="n">
        <f aca="false">F77*5</f>
        <v>25</v>
      </c>
      <c r="N77" s="16" t="n">
        <f aca="false">L77*M77*H77</f>
        <v>37300</v>
      </c>
      <c r="O77" s="10" t="n">
        <f aca="false">(G77-E77)+1</f>
        <v>36</v>
      </c>
      <c r="P77" s="14" t="str">
        <f aca="false">IFERROR(VLOOKUP(D77,Role_Mapping!$A$5:$D$31,4,FALSE()),"UNMAPPED")</f>
        <v>Consulting</v>
      </c>
      <c r="Q77" s="16" t="n">
        <f aca="false">$N77*MAX(0,(MIN($G77,DATE(2026,7,31))-MAX($E77,DATE(2026,7,1))+1))/$O77</f>
        <v>27975</v>
      </c>
      <c r="R77" s="16" t="n">
        <f aca="false">$N77*MAX(0,(MIN($G77,DATE(2026,8,31))-MAX($E77,DATE(2026,8,1))+1))/$O77</f>
        <v>0</v>
      </c>
      <c r="S77" s="16" t="n">
        <f aca="false">$N77*MAX(0,(MIN($G77,DATE(2026,9,30))-MAX($E77,DATE(2026,9,1))+1))/$O77</f>
        <v>0</v>
      </c>
      <c r="T77" s="16" t="n">
        <f aca="false">$N77*MAX(0,(MIN($G77,DATE(2026,10,31))-MAX($E77,DATE(2026,10,1))+1))/$O77</f>
        <v>0</v>
      </c>
      <c r="U77" s="16" t="n">
        <f aca="false">$N77*MAX(0,(MIN($G77,DATE(2026,11,30))-MAX($E77,DATE(2026,11,1))+1))/$O77</f>
        <v>0</v>
      </c>
      <c r="V77" s="16" t="n">
        <f aca="false">$N77*MAX(0,(MIN($G77,DATE(2026,12,31))-MAX($E77,DATE(2026,12,1))+1))/$O77</f>
        <v>0</v>
      </c>
      <c r="W77" s="17" t="n">
        <f aca="false">$H77*MAX(0,(MIN($G77,DATE(2026,7,31))-MAX($E77,DATE(2026,7,1))+1))/30.4</f>
        <v>0.444078947368421</v>
      </c>
      <c r="X77" s="17" t="n">
        <f aca="false">$H77*MAX(0,(MIN($G77,DATE(2026,8,31))-MAX($E77,DATE(2026,8,1))+1))/30.4</f>
        <v>0</v>
      </c>
      <c r="Y77" s="17" t="n">
        <f aca="false">$H77*MAX(0,(MIN($G77,DATE(2026,9,30))-MAX($E77,DATE(2026,9,1))+1))/30.4</f>
        <v>0</v>
      </c>
      <c r="Z77" s="17" t="n">
        <f aca="false">$H77*MAX(0,(MIN($G77,DATE(2026,10,31))-MAX($E77,DATE(2026,10,1))+1))/30.4</f>
        <v>0</v>
      </c>
      <c r="AA77" s="17" t="n">
        <f aca="false">$H77*MAX(0,(MIN($G77,DATE(2026,11,30))-MAX($E77,DATE(2026,11,1))+1))/30.4</f>
        <v>0</v>
      </c>
      <c r="AB77" s="17" t="n">
        <f aca="false">$H77*MAX(0,(MIN($G77,DATE(2026,12,31))-MAX($E77,DATE(2026,12,1))+1))/30.4</f>
        <v>0</v>
      </c>
    </row>
    <row r="78" customFormat="false" ht="15" hidden="false" customHeight="false" outlineLevel="0" collapsed="false">
      <c r="A78" s="10" t="n">
        <v>28</v>
      </c>
      <c r="B78" s="10" t="n">
        <v>5</v>
      </c>
      <c r="C78" s="10"/>
      <c r="D78" s="10" t="s">
        <v>53</v>
      </c>
      <c r="E78" s="12" t="n">
        <v>46195</v>
      </c>
      <c r="F78" s="10" t="n">
        <v>5</v>
      </c>
      <c r="G78" s="12" t="n">
        <v>46230</v>
      </c>
      <c r="H78" s="13" t="n">
        <v>1</v>
      </c>
      <c r="I78" s="10" t="s">
        <v>126</v>
      </c>
      <c r="J78" s="14" t="str">
        <f aca="false">IFERROR(VLOOKUP(D78,Role_Mapping!$A$5:$D$31,2,FALSE()),"UNMAPPED")</f>
        <v>Consultant</v>
      </c>
      <c r="K78" s="14" t="str">
        <f aca="false">IFERROR(VLOOKUP(D78,Role_Mapping!$A$5:$D$31,3,FALSE()),"IN")</f>
        <v>IN</v>
      </c>
      <c r="L78" s="15" t="n">
        <f aca="false">IFERROR(SUMPRODUCT((Rate_Card!$A$5:$A$34=J78)*(Rate_Card!$B$5:$B$34=K78)*Rate_Card!$C$5:$C$34),0)</f>
        <v>683</v>
      </c>
      <c r="M78" s="10" t="n">
        <f aca="false">F78*5</f>
        <v>25</v>
      </c>
      <c r="N78" s="16" t="n">
        <f aca="false">L78*M78*H78</f>
        <v>17075</v>
      </c>
      <c r="O78" s="10" t="n">
        <f aca="false">(G78-E78)+1</f>
        <v>36</v>
      </c>
      <c r="P78" s="14" t="str">
        <f aca="false">IFERROR(VLOOKUP(D78,Role_Mapping!$A$5:$D$31,4,FALSE()),"UNMAPPED")</f>
        <v>Consulting</v>
      </c>
      <c r="Q78" s="16" t="n">
        <f aca="false">$N78*MAX(0,(MIN($G78,DATE(2026,7,31))-MAX($E78,DATE(2026,7,1))+1))/$O78</f>
        <v>12806.25</v>
      </c>
      <c r="R78" s="16" t="n">
        <f aca="false">$N78*MAX(0,(MIN($G78,DATE(2026,8,31))-MAX($E78,DATE(2026,8,1))+1))/$O78</f>
        <v>0</v>
      </c>
      <c r="S78" s="16" t="n">
        <f aca="false">$N78*MAX(0,(MIN($G78,DATE(2026,9,30))-MAX($E78,DATE(2026,9,1))+1))/$O78</f>
        <v>0</v>
      </c>
      <c r="T78" s="16" t="n">
        <f aca="false">$N78*MAX(0,(MIN($G78,DATE(2026,10,31))-MAX($E78,DATE(2026,10,1))+1))/$O78</f>
        <v>0</v>
      </c>
      <c r="U78" s="16" t="n">
        <f aca="false">$N78*MAX(0,(MIN($G78,DATE(2026,11,30))-MAX($E78,DATE(2026,11,1))+1))/$O78</f>
        <v>0</v>
      </c>
      <c r="V78" s="16" t="n">
        <f aca="false">$N78*MAX(0,(MIN($G78,DATE(2026,12,31))-MAX($E78,DATE(2026,12,1))+1))/$O78</f>
        <v>0</v>
      </c>
      <c r="W78" s="17" t="n">
        <f aca="false">$H78*MAX(0,(MIN($G78,DATE(2026,7,31))-MAX($E78,DATE(2026,7,1))+1))/30.4</f>
        <v>0.888157894736842</v>
      </c>
      <c r="X78" s="17" t="n">
        <f aca="false">$H78*MAX(0,(MIN($G78,DATE(2026,8,31))-MAX($E78,DATE(2026,8,1))+1))/30.4</f>
        <v>0</v>
      </c>
      <c r="Y78" s="17" t="n">
        <f aca="false">$H78*MAX(0,(MIN($G78,DATE(2026,9,30))-MAX($E78,DATE(2026,9,1))+1))/30.4</f>
        <v>0</v>
      </c>
      <c r="Z78" s="17" t="n">
        <f aca="false">$H78*MAX(0,(MIN($G78,DATE(2026,10,31))-MAX($E78,DATE(2026,10,1))+1))/30.4</f>
        <v>0</v>
      </c>
      <c r="AA78" s="17" t="n">
        <f aca="false">$H78*MAX(0,(MIN($G78,DATE(2026,11,30))-MAX($E78,DATE(2026,11,1))+1))/30.4</f>
        <v>0</v>
      </c>
      <c r="AB78" s="17" t="n">
        <f aca="false">$H78*MAX(0,(MIN($G78,DATE(2026,12,31))-MAX($E78,DATE(2026,12,1))+1))/30.4</f>
        <v>0</v>
      </c>
    </row>
    <row r="79" customFormat="false" ht="15" hidden="false" customHeight="false" outlineLevel="0" collapsed="false">
      <c r="A79" s="10" t="n">
        <v>29</v>
      </c>
      <c r="B79" s="10" t="n">
        <v>5</v>
      </c>
      <c r="C79" s="10"/>
      <c r="D79" s="10" t="s">
        <v>64</v>
      </c>
      <c r="E79" s="12" t="n">
        <v>46195</v>
      </c>
      <c r="F79" s="10" t="n">
        <v>5</v>
      </c>
      <c r="G79" s="12" t="n">
        <v>46230</v>
      </c>
      <c r="H79" s="13" t="n">
        <v>0.25</v>
      </c>
      <c r="I79" s="10" t="s">
        <v>113</v>
      </c>
      <c r="J79" s="14" t="str">
        <f aca="false">IFERROR(VLOOKUP(D79,Role_Mapping!$A$5:$D$31,2,FALSE()),"UNMAPPED")</f>
        <v>Principal Technology Architect</v>
      </c>
      <c r="K79" s="14" t="str">
        <f aca="false">IFERROR(VLOOKUP(D79,Role_Mapping!$A$5:$D$31,3,FALSE()),"IN")</f>
        <v>IN</v>
      </c>
      <c r="L79" s="15" t="n">
        <f aca="false">IFERROR(SUMPRODUCT((Rate_Card!$A$5:$A$34=J79)*(Rate_Card!$B$5:$B$34=K79)*Rate_Card!$C$5:$C$34),0)</f>
        <v>845</v>
      </c>
      <c r="M79" s="10" t="n">
        <f aca="false">F79*5</f>
        <v>25</v>
      </c>
      <c r="N79" s="16" t="n">
        <f aca="false">L79*M79*H79</f>
        <v>5281.25</v>
      </c>
      <c r="O79" s="10" t="n">
        <f aca="false">(G79-E79)+1</f>
        <v>36</v>
      </c>
      <c r="P79" s="14" t="str">
        <f aca="false">IFERROR(VLOOKUP(D79,Role_Mapping!$A$5:$D$31,4,FALSE()),"UNMAPPED")</f>
        <v>Full Stack</v>
      </c>
      <c r="Q79" s="16" t="n">
        <f aca="false">$N79*MAX(0,(MIN($G79,DATE(2026,7,31))-MAX($E79,DATE(2026,7,1))+1))/$O79</f>
        <v>3960.9375</v>
      </c>
      <c r="R79" s="16" t="n">
        <f aca="false">$N79*MAX(0,(MIN($G79,DATE(2026,8,31))-MAX($E79,DATE(2026,8,1))+1))/$O79</f>
        <v>0</v>
      </c>
      <c r="S79" s="16" t="n">
        <f aca="false">$N79*MAX(0,(MIN($G79,DATE(2026,9,30))-MAX($E79,DATE(2026,9,1))+1))/$O79</f>
        <v>0</v>
      </c>
      <c r="T79" s="16" t="n">
        <f aca="false">$N79*MAX(0,(MIN($G79,DATE(2026,10,31))-MAX($E79,DATE(2026,10,1))+1))/$O79</f>
        <v>0</v>
      </c>
      <c r="U79" s="16" t="n">
        <f aca="false">$N79*MAX(0,(MIN($G79,DATE(2026,11,30))-MAX($E79,DATE(2026,11,1))+1))/$O79</f>
        <v>0</v>
      </c>
      <c r="V79" s="16" t="n">
        <f aca="false">$N79*MAX(0,(MIN($G79,DATE(2026,12,31))-MAX($E79,DATE(2026,12,1))+1))/$O79</f>
        <v>0</v>
      </c>
      <c r="W79" s="17" t="n">
        <f aca="false">$H79*MAX(0,(MIN($G79,DATE(2026,7,31))-MAX($E79,DATE(2026,7,1))+1))/30.4</f>
        <v>0.222039473684211</v>
      </c>
      <c r="X79" s="17" t="n">
        <f aca="false">$H79*MAX(0,(MIN($G79,DATE(2026,8,31))-MAX($E79,DATE(2026,8,1))+1))/30.4</f>
        <v>0</v>
      </c>
      <c r="Y79" s="17" t="n">
        <f aca="false">$H79*MAX(0,(MIN($G79,DATE(2026,9,30))-MAX($E79,DATE(2026,9,1))+1))/30.4</f>
        <v>0</v>
      </c>
      <c r="Z79" s="17" t="n">
        <f aca="false">$H79*MAX(0,(MIN($G79,DATE(2026,10,31))-MAX($E79,DATE(2026,10,1))+1))/30.4</f>
        <v>0</v>
      </c>
      <c r="AA79" s="17" t="n">
        <f aca="false">$H79*MAX(0,(MIN($G79,DATE(2026,11,30))-MAX($E79,DATE(2026,11,1))+1))/30.4</f>
        <v>0</v>
      </c>
      <c r="AB79" s="17" t="n">
        <f aca="false">$H79*MAX(0,(MIN($G79,DATE(2026,12,31))-MAX($E79,DATE(2026,12,1))+1))/30.4</f>
        <v>0</v>
      </c>
    </row>
    <row r="80" customFormat="false" ht="15" hidden="false" customHeight="false" outlineLevel="0" collapsed="false">
      <c r="A80" s="10" t="n">
        <v>30</v>
      </c>
      <c r="B80" s="10" t="n">
        <v>5</v>
      </c>
      <c r="C80" s="10"/>
      <c r="D80" s="10" t="s">
        <v>80</v>
      </c>
      <c r="E80" s="12" t="n">
        <v>46195</v>
      </c>
      <c r="F80" s="10" t="n">
        <v>5</v>
      </c>
      <c r="G80" s="12" t="n">
        <v>46230</v>
      </c>
      <c r="H80" s="13" t="n">
        <v>1</v>
      </c>
      <c r="I80" s="10" t="s">
        <v>113</v>
      </c>
      <c r="J80" s="14" t="str">
        <f aca="false">IFERROR(VLOOKUP(D80,Role_Mapping!$A$5:$D$31,2,FALSE()),"UNMAPPED")</f>
        <v>Solutions Consultant</v>
      </c>
      <c r="K80" s="14" t="str">
        <f aca="false">IFERROR(VLOOKUP(D80,Role_Mapping!$A$5:$D$31,3,FALSE()),"IN")</f>
        <v>IN</v>
      </c>
      <c r="L80" s="15" t="n">
        <f aca="false">IFERROR(SUMPRODUCT((Rate_Card!$A$5:$A$34=J80)*(Rate_Card!$B$5:$B$34=K80)*Rate_Card!$C$5:$C$34),0)</f>
        <v>683</v>
      </c>
      <c r="M80" s="10" t="n">
        <f aca="false">F80*5</f>
        <v>25</v>
      </c>
      <c r="N80" s="16" t="n">
        <f aca="false">L80*M80*H80</f>
        <v>17075</v>
      </c>
      <c r="O80" s="10" t="n">
        <f aca="false">(G80-E80)+1</f>
        <v>36</v>
      </c>
      <c r="P80" s="14" t="str">
        <f aca="false">IFERROR(VLOOKUP(D80,Role_Mapping!$A$5:$D$31,4,FALSE()),"UNMAPPED")</f>
        <v>Power BI &amp; Consulting</v>
      </c>
      <c r="Q80" s="16" t="n">
        <f aca="false">$N80*MAX(0,(MIN($G80,DATE(2026,7,31))-MAX($E80,DATE(2026,7,1))+1))/$O80</f>
        <v>12806.25</v>
      </c>
      <c r="R80" s="16" t="n">
        <f aca="false">$N80*MAX(0,(MIN($G80,DATE(2026,8,31))-MAX($E80,DATE(2026,8,1))+1))/$O80</f>
        <v>0</v>
      </c>
      <c r="S80" s="16" t="n">
        <f aca="false">$N80*MAX(0,(MIN($G80,DATE(2026,9,30))-MAX($E80,DATE(2026,9,1))+1))/$O80</f>
        <v>0</v>
      </c>
      <c r="T80" s="16" t="n">
        <f aca="false">$N80*MAX(0,(MIN($G80,DATE(2026,10,31))-MAX($E80,DATE(2026,10,1))+1))/$O80</f>
        <v>0</v>
      </c>
      <c r="U80" s="16" t="n">
        <f aca="false">$N80*MAX(0,(MIN($G80,DATE(2026,11,30))-MAX($E80,DATE(2026,11,1))+1))/$O80</f>
        <v>0</v>
      </c>
      <c r="V80" s="16" t="n">
        <f aca="false">$N80*MAX(0,(MIN($G80,DATE(2026,12,31))-MAX($E80,DATE(2026,12,1))+1))/$O80</f>
        <v>0</v>
      </c>
      <c r="W80" s="17" t="n">
        <f aca="false">$H80*MAX(0,(MIN($G80,DATE(2026,7,31))-MAX($E80,DATE(2026,7,1))+1))/30.4</f>
        <v>0.888157894736842</v>
      </c>
      <c r="X80" s="17" t="n">
        <f aca="false">$H80*MAX(0,(MIN($G80,DATE(2026,8,31))-MAX($E80,DATE(2026,8,1))+1))/30.4</f>
        <v>0</v>
      </c>
      <c r="Y80" s="17" t="n">
        <f aca="false">$H80*MAX(0,(MIN($G80,DATE(2026,9,30))-MAX($E80,DATE(2026,9,1))+1))/30.4</f>
        <v>0</v>
      </c>
      <c r="Z80" s="17" t="n">
        <f aca="false">$H80*MAX(0,(MIN($G80,DATE(2026,10,31))-MAX($E80,DATE(2026,10,1))+1))/30.4</f>
        <v>0</v>
      </c>
      <c r="AA80" s="17" t="n">
        <f aca="false">$H80*MAX(0,(MIN($G80,DATE(2026,11,30))-MAX($E80,DATE(2026,11,1))+1))/30.4</f>
        <v>0</v>
      </c>
      <c r="AB80" s="17" t="n">
        <f aca="false">$H80*MAX(0,(MIN($G80,DATE(2026,12,31))-MAX($E80,DATE(2026,12,1))+1))/30.4</f>
        <v>0</v>
      </c>
    </row>
    <row r="81" customFormat="false" ht="15" hidden="false" customHeight="false" outlineLevel="0" collapsed="false">
      <c r="A81" s="10" t="n">
        <v>31</v>
      </c>
      <c r="B81" s="10" t="n">
        <v>5</v>
      </c>
      <c r="C81" s="10"/>
      <c r="D81" s="10" t="s">
        <v>75</v>
      </c>
      <c r="E81" s="12" t="n">
        <v>46195</v>
      </c>
      <c r="F81" s="10" t="n">
        <v>5</v>
      </c>
      <c r="G81" s="12" t="n">
        <v>46230</v>
      </c>
      <c r="H81" s="13" t="n">
        <v>1</v>
      </c>
      <c r="I81" s="10" t="s">
        <v>113</v>
      </c>
      <c r="J81" s="14" t="str">
        <f aca="false">IFERROR(VLOOKUP(D81,Role_Mapping!$A$5:$D$31,2,FALSE()),"UNMAPPED")</f>
        <v>Software Engineer</v>
      </c>
      <c r="K81" s="14" t="str">
        <f aca="false">IFERROR(VLOOKUP(D81,Role_Mapping!$A$5:$D$31,3,FALSE()),"IN")</f>
        <v>IN</v>
      </c>
      <c r="L81" s="15" t="n">
        <f aca="false">IFERROR(SUMPRODUCT((Rate_Card!$A$5:$A$34=J81)*(Rate_Card!$B$5:$B$34=K81)*Rate_Card!$C$5:$C$34),0)</f>
        <v>455</v>
      </c>
      <c r="M81" s="10" t="n">
        <f aca="false">F81*5</f>
        <v>25</v>
      </c>
      <c r="N81" s="16" t="n">
        <f aca="false">L81*M81*H81</f>
        <v>11375</v>
      </c>
      <c r="O81" s="10" t="n">
        <f aca="false">(G81-E81)+1</f>
        <v>36</v>
      </c>
      <c r="P81" s="14" t="str">
        <f aca="false">IFERROR(VLOOKUP(D81,Role_Mapping!$A$5:$D$31,4,FALSE()),"UNMAPPED")</f>
        <v>Full Stack</v>
      </c>
      <c r="Q81" s="16" t="n">
        <f aca="false">$N81*MAX(0,(MIN($G81,DATE(2026,7,31))-MAX($E81,DATE(2026,7,1))+1))/$O81</f>
        <v>8531.25</v>
      </c>
      <c r="R81" s="16" t="n">
        <f aca="false">$N81*MAX(0,(MIN($G81,DATE(2026,8,31))-MAX($E81,DATE(2026,8,1))+1))/$O81</f>
        <v>0</v>
      </c>
      <c r="S81" s="16" t="n">
        <f aca="false">$N81*MAX(0,(MIN($G81,DATE(2026,9,30))-MAX($E81,DATE(2026,9,1))+1))/$O81</f>
        <v>0</v>
      </c>
      <c r="T81" s="16" t="n">
        <f aca="false">$N81*MAX(0,(MIN($G81,DATE(2026,10,31))-MAX($E81,DATE(2026,10,1))+1))/$O81</f>
        <v>0</v>
      </c>
      <c r="U81" s="16" t="n">
        <f aca="false">$N81*MAX(0,(MIN($G81,DATE(2026,11,30))-MAX($E81,DATE(2026,11,1))+1))/$O81</f>
        <v>0</v>
      </c>
      <c r="V81" s="16" t="n">
        <f aca="false">$N81*MAX(0,(MIN($G81,DATE(2026,12,31))-MAX($E81,DATE(2026,12,1))+1))/$O81</f>
        <v>0</v>
      </c>
      <c r="W81" s="17" t="n">
        <f aca="false">$H81*MAX(0,(MIN($G81,DATE(2026,7,31))-MAX($E81,DATE(2026,7,1))+1))/30.4</f>
        <v>0.888157894736842</v>
      </c>
      <c r="X81" s="17" t="n">
        <f aca="false">$H81*MAX(0,(MIN($G81,DATE(2026,8,31))-MAX($E81,DATE(2026,8,1))+1))/30.4</f>
        <v>0</v>
      </c>
      <c r="Y81" s="17" t="n">
        <f aca="false">$H81*MAX(0,(MIN($G81,DATE(2026,9,30))-MAX($E81,DATE(2026,9,1))+1))/30.4</f>
        <v>0</v>
      </c>
      <c r="Z81" s="17" t="n">
        <f aca="false">$H81*MAX(0,(MIN($G81,DATE(2026,10,31))-MAX($E81,DATE(2026,10,1))+1))/30.4</f>
        <v>0</v>
      </c>
      <c r="AA81" s="17" t="n">
        <f aca="false">$H81*MAX(0,(MIN($G81,DATE(2026,11,30))-MAX($E81,DATE(2026,11,1))+1))/30.4</f>
        <v>0</v>
      </c>
      <c r="AB81" s="17" t="n">
        <f aca="false">$H81*MAX(0,(MIN($G81,DATE(2026,12,31))-MAX($E81,DATE(2026,12,1))+1))/30.4</f>
        <v>0</v>
      </c>
    </row>
    <row r="82" customFormat="false" ht="15" hidden="false" customHeight="false" outlineLevel="0" collapsed="false">
      <c r="A82" s="10" t="n">
        <v>32</v>
      </c>
      <c r="B82" s="10" t="n">
        <v>5</v>
      </c>
      <c r="C82" s="10" t="s">
        <v>130</v>
      </c>
      <c r="D82" s="10" t="s">
        <v>62</v>
      </c>
      <c r="E82" s="12" t="n">
        <v>46265</v>
      </c>
      <c r="F82" s="10" t="n">
        <v>5</v>
      </c>
      <c r="G82" s="12" t="n">
        <v>46300</v>
      </c>
      <c r="H82" s="13" t="n">
        <v>0.125</v>
      </c>
      <c r="I82" s="10" t="s">
        <v>113</v>
      </c>
      <c r="J82" s="14" t="str">
        <f aca="false">IFERROR(VLOOKUP(D82,Role_Mapping!$A$5:$D$31,2,FALSE()),"UNMAPPED")</f>
        <v>Associate Partner</v>
      </c>
      <c r="K82" s="14" t="str">
        <f aca="false">IFERROR(VLOOKUP(D82,Role_Mapping!$A$5:$D$31,3,FALSE()),"IN")</f>
        <v>UK</v>
      </c>
      <c r="L82" s="15" t="n">
        <f aca="false">IFERROR(SUMPRODUCT((Rate_Card!$A$5:$A$34=J82)*(Rate_Card!$B$5:$B$34=K82)*Rate_Card!$C$5:$C$34),0)</f>
        <v>3526</v>
      </c>
      <c r="M82" s="10" t="n">
        <f aca="false">F82*5</f>
        <v>25</v>
      </c>
      <c r="N82" s="16" t="n">
        <f aca="false">L82*M82*H82</f>
        <v>11018.75</v>
      </c>
      <c r="O82" s="10" t="n">
        <f aca="false">(G82-E82)+1</f>
        <v>36</v>
      </c>
      <c r="P82" s="14" t="str">
        <f aca="false">IFERROR(VLOOKUP(D82,Role_Mapping!$A$5:$D$31,4,FALSE()),"UNMAPPED")</f>
        <v>GTM</v>
      </c>
      <c r="Q82" s="16" t="n">
        <f aca="false">$N82*MAX(0,(MIN($G82,DATE(2026,7,31))-MAX($E82,DATE(2026,7,1))+1))/$O82</f>
        <v>0</v>
      </c>
      <c r="R82" s="16" t="n">
        <f aca="false">$N82*MAX(0,(MIN($G82,DATE(2026,8,31))-MAX($E82,DATE(2026,8,1))+1))/$O82</f>
        <v>306.076388888889</v>
      </c>
      <c r="S82" s="16" t="n">
        <f aca="false">$N82*MAX(0,(MIN($G82,DATE(2026,9,30))-MAX($E82,DATE(2026,9,1))+1))/$O82</f>
        <v>9182.29166666667</v>
      </c>
      <c r="T82" s="16" t="n">
        <f aca="false">$N82*MAX(0,(MIN($G82,DATE(2026,10,31))-MAX($E82,DATE(2026,10,1))+1))/$O82</f>
        <v>1530.38194444444</v>
      </c>
      <c r="U82" s="16" t="n">
        <f aca="false">$N82*MAX(0,(MIN($G82,DATE(2026,11,30))-MAX($E82,DATE(2026,11,1))+1))/$O82</f>
        <v>0</v>
      </c>
      <c r="V82" s="16" t="n">
        <f aca="false">$N82*MAX(0,(MIN($G82,DATE(2026,12,31))-MAX($E82,DATE(2026,12,1))+1))/$O82</f>
        <v>0</v>
      </c>
      <c r="W82" s="17" t="n">
        <f aca="false">$H82*MAX(0,(MIN($G82,DATE(2026,7,31))-MAX($E82,DATE(2026,7,1))+1))/30.4</f>
        <v>0</v>
      </c>
      <c r="X82" s="17" t="n">
        <f aca="false">$H82*MAX(0,(MIN($G82,DATE(2026,8,31))-MAX($E82,DATE(2026,8,1))+1))/30.4</f>
        <v>0.00411184210526316</v>
      </c>
      <c r="Y82" s="17" t="n">
        <f aca="false">$H82*MAX(0,(MIN($G82,DATE(2026,9,30))-MAX($E82,DATE(2026,9,1))+1))/30.4</f>
        <v>0.123355263157895</v>
      </c>
      <c r="Z82" s="17" t="n">
        <f aca="false">$H82*MAX(0,(MIN($G82,DATE(2026,10,31))-MAX($E82,DATE(2026,10,1))+1))/30.4</f>
        <v>0.0205592105263158</v>
      </c>
      <c r="AA82" s="17" t="n">
        <f aca="false">$H82*MAX(0,(MIN($G82,DATE(2026,11,30))-MAX($E82,DATE(2026,11,1))+1))/30.4</f>
        <v>0</v>
      </c>
      <c r="AB82" s="17" t="n">
        <f aca="false">$H82*MAX(0,(MIN($G82,DATE(2026,12,31))-MAX($E82,DATE(2026,12,1))+1))/30.4</f>
        <v>0</v>
      </c>
    </row>
    <row r="83" customFormat="false" ht="15" hidden="false" customHeight="false" outlineLevel="0" collapsed="false">
      <c r="A83" s="10" t="n">
        <v>33</v>
      </c>
      <c r="B83" s="10" t="n">
        <v>5</v>
      </c>
      <c r="C83" s="10"/>
      <c r="D83" s="10" t="s">
        <v>61</v>
      </c>
      <c r="E83" s="12" t="n">
        <v>46265</v>
      </c>
      <c r="F83" s="10" t="n">
        <v>5</v>
      </c>
      <c r="G83" s="12" t="n">
        <v>46300</v>
      </c>
      <c r="H83" s="13" t="n">
        <v>0.125</v>
      </c>
      <c r="I83" s="10" t="s">
        <v>113</v>
      </c>
      <c r="J83" s="14" t="str">
        <f aca="false">IFERROR(VLOOKUP(D83,Role_Mapping!$A$5:$D$31,2,FALSE()),"UNMAPPED")</f>
        <v>Manager</v>
      </c>
      <c r="K83" s="14" t="str">
        <f aca="false">IFERROR(VLOOKUP(D83,Role_Mapping!$A$5:$D$31,3,FALSE()),"IN")</f>
        <v>UK</v>
      </c>
      <c r="L83" s="15" t="n">
        <f aca="false">IFERROR(SUMPRODUCT((Rate_Card!$A$5:$A$34=J83)*(Rate_Card!$B$5:$B$34=K83)*Rate_Card!$C$5:$C$34),0)</f>
        <v>2984</v>
      </c>
      <c r="M83" s="10" t="n">
        <f aca="false">F83*5</f>
        <v>25</v>
      </c>
      <c r="N83" s="16" t="n">
        <f aca="false">L83*M83*H83</f>
        <v>9325</v>
      </c>
      <c r="O83" s="10" t="n">
        <f aca="false">(G83-E83)+1</f>
        <v>36</v>
      </c>
      <c r="P83" s="14" t="str">
        <f aca="false">IFERROR(VLOOKUP(D83,Role_Mapping!$A$5:$D$31,4,FALSE()),"UNMAPPED")</f>
        <v>Consulting</v>
      </c>
      <c r="Q83" s="16" t="n">
        <f aca="false">$N83*MAX(0,(MIN($G83,DATE(2026,7,31))-MAX($E83,DATE(2026,7,1))+1))/$O83</f>
        <v>0</v>
      </c>
      <c r="R83" s="16" t="n">
        <f aca="false">$N83*MAX(0,(MIN($G83,DATE(2026,8,31))-MAX($E83,DATE(2026,8,1))+1))/$O83</f>
        <v>259.027777777778</v>
      </c>
      <c r="S83" s="16" t="n">
        <f aca="false">$N83*MAX(0,(MIN($G83,DATE(2026,9,30))-MAX($E83,DATE(2026,9,1))+1))/$O83</f>
        <v>7770.83333333333</v>
      </c>
      <c r="T83" s="16" t="n">
        <f aca="false">$N83*MAX(0,(MIN($G83,DATE(2026,10,31))-MAX($E83,DATE(2026,10,1))+1))/$O83</f>
        <v>1295.13888888889</v>
      </c>
      <c r="U83" s="16" t="n">
        <f aca="false">$N83*MAX(0,(MIN($G83,DATE(2026,11,30))-MAX($E83,DATE(2026,11,1))+1))/$O83</f>
        <v>0</v>
      </c>
      <c r="V83" s="16" t="n">
        <f aca="false">$N83*MAX(0,(MIN($G83,DATE(2026,12,31))-MAX($E83,DATE(2026,12,1))+1))/$O83</f>
        <v>0</v>
      </c>
      <c r="W83" s="17" t="n">
        <f aca="false">$H83*MAX(0,(MIN($G83,DATE(2026,7,31))-MAX($E83,DATE(2026,7,1))+1))/30.4</f>
        <v>0</v>
      </c>
      <c r="X83" s="17" t="n">
        <f aca="false">$H83*MAX(0,(MIN($G83,DATE(2026,8,31))-MAX($E83,DATE(2026,8,1))+1))/30.4</f>
        <v>0.00411184210526316</v>
      </c>
      <c r="Y83" s="17" t="n">
        <f aca="false">$H83*MAX(0,(MIN($G83,DATE(2026,9,30))-MAX($E83,DATE(2026,9,1))+1))/30.4</f>
        <v>0.123355263157895</v>
      </c>
      <c r="Z83" s="17" t="n">
        <f aca="false">$H83*MAX(0,(MIN($G83,DATE(2026,10,31))-MAX($E83,DATE(2026,10,1))+1))/30.4</f>
        <v>0.0205592105263158</v>
      </c>
      <c r="AA83" s="17" t="n">
        <f aca="false">$H83*MAX(0,(MIN($G83,DATE(2026,11,30))-MAX($E83,DATE(2026,11,1))+1))/30.4</f>
        <v>0</v>
      </c>
      <c r="AB83" s="17" t="n">
        <f aca="false">$H83*MAX(0,(MIN($G83,DATE(2026,12,31))-MAX($E83,DATE(2026,12,1))+1))/30.4</f>
        <v>0</v>
      </c>
    </row>
    <row r="84" customFormat="false" ht="15" hidden="false" customHeight="false" outlineLevel="0" collapsed="false">
      <c r="A84" s="10" t="n">
        <v>34</v>
      </c>
      <c r="B84" s="10" t="n">
        <v>5</v>
      </c>
      <c r="C84" s="10"/>
      <c r="D84" s="10" t="s">
        <v>78</v>
      </c>
      <c r="E84" s="12" t="n">
        <v>46265</v>
      </c>
      <c r="F84" s="10" t="n">
        <v>8</v>
      </c>
      <c r="G84" s="12" t="n">
        <v>46321</v>
      </c>
      <c r="H84" s="13" t="n">
        <v>0.5</v>
      </c>
      <c r="I84" s="10" t="s">
        <v>113</v>
      </c>
      <c r="J84" s="14" t="str">
        <f aca="false">IFERROR(VLOOKUP(D84,Role_Mapping!$A$5:$D$31,2,FALSE()),"UNMAPPED")</f>
        <v>Senior Solutions Consultant</v>
      </c>
      <c r="K84" s="14" t="str">
        <f aca="false">IFERROR(VLOOKUP(D84,Role_Mapping!$A$5:$D$31,3,FALSE()),"IN")</f>
        <v>IN</v>
      </c>
      <c r="L84" s="15" t="n">
        <f aca="false">IFERROR(SUMPRODUCT((Rate_Card!$A$5:$A$34=J84)*(Rate_Card!$B$5:$B$34=K84)*Rate_Card!$C$5:$C$34),0)</f>
        <v>715</v>
      </c>
      <c r="M84" s="10" t="n">
        <f aca="false">F84*5</f>
        <v>40</v>
      </c>
      <c r="N84" s="16" t="n">
        <f aca="false">L84*M84*H84</f>
        <v>14300</v>
      </c>
      <c r="O84" s="10" t="n">
        <f aca="false">(G84-E84)+1</f>
        <v>57</v>
      </c>
      <c r="P84" s="14" t="str">
        <f aca="false">IFERROR(VLOOKUP(D84,Role_Mapping!$A$5:$D$31,4,FALSE()),"UNMAPPED")</f>
        <v>Power BI &amp; Consulting</v>
      </c>
      <c r="Q84" s="16" t="n">
        <f aca="false">$N84*MAX(0,(MIN($G84,DATE(2026,7,31))-MAX($E84,DATE(2026,7,1))+1))/$O84</f>
        <v>0</v>
      </c>
      <c r="R84" s="16" t="n">
        <f aca="false">$N84*MAX(0,(MIN($G84,DATE(2026,8,31))-MAX($E84,DATE(2026,8,1))+1))/$O84</f>
        <v>250.877192982456</v>
      </c>
      <c r="S84" s="16" t="n">
        <f aca="false">$N84*MAX(0,(MIN($G84,DATE(2026,9,30))-MAX($E84,DATE(2026,9,1))+1))/$O84</f>
        <v>7526.31578947368</v>
      </c>
      <c r="T84" s="16" t="n">
        <f aca="false">$N84*MAX(0,(MIN($G84,DATE(2026,10,31))-MAX($E84,DATE(2026,10,1))+1))/$O84</f>
        <v>6522.80701754386</v>
      </c>
      <c r="U84" s="16" t="n">
        <f aca="false">$N84*MAX(0,(MIN($G84,DATE(2026,11,30))-MAX($E84,DATE(2026,11,1))+1))/$O84</f>
        <v>0</v>
      </c>
      <c r="V84" s="16" t="n">
        <f aca="false">$N84*MAX(0,(MIN($G84,DATE(2026,12,31))-MAX($E84,DATE(2026,12,1))+1))/$O84</f>
        <v>0</v>
      </c>
      <c r="W84" s="17" t="n">
        <f aca="false">$H84*MAX(0,(MIN($G84,DATE(2026,7,31))-MAX($E84,DATE(2026,7,1))+1))/30.4</f>
        <v>0</v>
      </c>
      <c r="X84" s="17" t="n">
        <f aca="false">$H84*MAX(0,(MIN($G84,DATE(2026,8,31))-MAX($E84,DATE(2026,8,1))+1))/30.4</f>
        <v>0.0164473684210526</v>
      </c>
      <c r="Y84" s="17" t="n">
        <f aca="false">$H84*MAX(0,(MIN($G84,DATE(2026,9,30))-MAX($E84,DATE(2026,9,1))+1))/30.4</f>
        <v>0.493421052631579</v>
      </c>
      <c r="Z84" s="17" t="n">
        <f aca="false">$H84*MAX(0,(MIN($G84,DATE(2026,10,31))-MAX($E84,DATE(2026,10,1))+1))/30.4</f>
        <v>0.427631578947368</v>
      </c>
      <c r="AA84" s="17" t="n">
        <f aca="false">$H84*MAX(0,(MIN($G84,DATE(2026,11,30))-MAX($E84,DATE(2026,11,1))+1))/30.4</f>
        <v>0</v>
      </c>
      <c r="AB84" s="17" t="n">
        <f aca="false">$H84*MAX(0,(MIN($G84,DATE(2026,12,31))-MAX($E84,DATE(2026,12,1))+1))/30.4</f>
        <v>0</v>
      </c>
    </row>
    <row r="85" customFormat="false" ht="15" hidden="false" customHeight="false" outlineLevel="0" collapsed="false">
      <c r="A85" s="10" t="n">
        <v>35</v>
      </c>
      <c r="B85" s="10" t="n">
        <v>5</v>
      </c>
      <c r="C85" s="10"/>
      <c r="D85" s="10" t="s">
        <v>58</v>
      </c>
      <c r="E85" s="12" t="n">
        <v>46265</v>
      </c>
      <c r="F85" s="10" t="n">
        <v>5</v>
      </c>
      <c r="G85" s="12" t="n">
        <v>46300</v>
      </c>
      <c r="H85" s="13" t="n">
        <v>1</v>
      </c>
      <c r="I85" s="10" t="s">
        <v>113</v>
      </c>
      <c r="J85" s="14" t="str">
        <f aca="false">IFERROR(VLOOKUP(D85,Role_Mapping!$A$5:$D$31,2,FALSE()),"UNMAPPED")</f>
        <v>Solutions Enabler</v>
      </c>
      <c r="K85" s="14" t="str">
        <f aca="false">IFERROR(VLOOKUP(D85,Role_Mapping!$A$5:$D$31,3,FALSE()),"IN")</f>
        <v>IN</v>
      </c>
      <c r="L85" s="15" t="n">
        <f aca="false">IFERROR(SUMPRODUCT((Rate_Card!$A$5:$A$34=J85)*(Rate_Card!$B$5:$B$34=K85)*Rate_Card!$C$5:$C$34),0)</f>
        <v>683</v>
      </c>
      <c r="M85" s="10" t="n">
        <f aca="false">F85*5</f>
        <v>25</v>
      </c>
      <c r="N85" s="16" t="n">
        <f aca="false">L85*M85*H85</f>
        <v>17075</v>
      </c>
      <c r="O85" s="10" t="n">
        <f aca="false">(G85-E85)+1</f>
        <v>36</v>
      </c>
      <c r="P85" s="14" t="str">
        <f aca="false">IFERROR(VLOOKUP(D85,Role_Mapping!$A$5:$D$31,4,FALSE()),"UNMAPPED")</f>
        <v>Data Engineering</v>
      </c>
      <c r="Q85" s="16" t="n">
        <f aca="false">$N85*MAX(0,(MIN($G85,DATE(2026,7,31))-MAX($E85,DATE(2026,7,1))+1))/$O85</f>
        <v>0</v>
      </c>
      <c r="R85" s="16" t="n">
        <f aca="false">$N85*MAX(0,(MIN($G85,DATE(2026,8,31))-MAX($E85,DATE(2026,8,1))+1))/$O85</f>
        <v>474.305555555556</v>
      </c>
      <c r="S85" s="16" t="n">
        <f aca="false">$N85*MAX(0,(MIN($G85,DATE(2026,9,30))-MAX($E85,DATE(2026,9,1))+1))/$O85</f>
        <v>14229.1666666667</v>
      </c>
      <c r="T85" s="16" t="n">
        <f aca="false">$N85*MAX(0,(MIN($G85,DATE(2026,10,31))-MAX($E85,DATE(2026,10,1))+1))/$O85</f>
        <v>2371.52777777778</v>
      </c>
      <c r="U85" s="16" t="n">
        <f aca="false">$N85*MAX(0,(MIN($G85,DATE(2026,11,30))-MAX($E85,DATE(2026,11,1))+1))/$O85</f>
        <v>0</v>
      </c>
      <c r="V85" s="16" t="n">
        <f aca="false">$N85*MAX(0,(MIN($G85,DATE(2026,12,31))-MAX($E85,DATE(2026,12,1))+1))/$O85</f>
        <v>0</v>
      </c>
      <c r="W85" s="17" t="n">
        <f aca="false">$H85*MAX(0,(MIN($G85,DATE(2026,7,31))-MAX($E85,DATE(2026,7,1))+1))/30.4</f>
        <v>0</v>
      </c>
      <c r="X85" s="17" t="n">
        <f aca="false">$H85*MAX(0,(MIN($G85,DATE(2026,8,31))-MAX($E85,DATE(2026,8,1))+1))/30.4</f>
        <v>0.0328947368421053</v>
      </c>
      <c r="Y85" s="17" t="n">
        <f aca="false">$H85*MAX(0,(MIN($G85,DATE(2026,9,30))-MAX($E85,DATE(2026,9,1))+1))/30.4</f>
        <v>0.986842105263158</v>
      </c>
      <c r="Z85" s="17" t="n">
        <f aca="false">$H85*MAX(0,(MIN($G85,DATE(2026,10,31))-MAX($E85,DATE(2026,10,1))+1))/30.4</f>
        <v>0.164473684210526</v>
      </c>
      <c r="AA85" s="17" t="n">
        <f aca="false">$H85*MAX(0,(MIN($G85,DATE(2026,11,30))-MAX($E85,DATE(2026,11,1))+1))/30.4</f>
        <v>0</v>
      </c>
      <c r="AB85" s="17" t="n">
        <f aca="false">$H85*MAX(0,(MIN($G85,DATE(2026,12,31))-MAX($E85,DATE(2026,12,1))+1))/30.4</f>
        <v>0</v>
      </c>
    </row>
    <row r="86" customFormat="false" ht="15" hidden="false" customHeight="false" outlineLevel="0" collapsed="false">
      <c r="A86" s="10" t="n">
        <v>36</v>
      </c>
      <c r="B86" s="10" t="n">
        <v>5</v>
      </c>
      <c r="C86" s="10"/>
      <c r="D86" s="10" t="s">
        <v>76</v>
      </c>
      <c r="E86" s="12" t="n">
        <v>46265</v>
      </c>
      <c r="F86" s="10" t="n">
        <v>5</v>
      </c>
      <c r="G86" s="12" t="n">
        <v>46300</v>
      </c>
      <c r="H86" s="13" t="n">
        <v>1</v>
      </c>
      <c r="I86" s="10" t="s">
        <v>113</v>
      </c>
      <c r="J86" s="14" t="str">
        <f aca="false">IFERROR(VLOOKUP(D86,Role_Mapping!$A$5:$D$31,2,FALSE()),"UNMAPPED")</f>
        <v>Senior Software Engineer</v>
      </c>
      <c r="K86" s="14" t="str">
        <f aca="false">IFERROR(VLOOKUP(D86,Role_Mapping!$A$5:$D$31,3,FALSE()),"IN")</f>
        <v>IN</v>
      </c>
      <c r="L86" s="15" t="n">
        <f aca="false">IFERROR(SUMPRODUCT((Rate_Card!$A$5:$A$34=J86)*(Rate_Card!$B$5:$B$34=K86)*Rate_Card!$C$5:$C$34),0)</f>
        <v>585</v>
      </c>
      <c r="M86" s="10" t="n">
        <f aca="false">F86*5</f>
        <v>25</v>
      </c>
      <c r="N86" s="16" t="n">
        <f aca="false">L86*M86*H86</f>
        <v>14625</v>
      </c>
      <c r="O86" s="10" t="n">
        <f aca="false">(G86-E86)+1</f>
        <v>36</v>
      </c>
      <c r="P86" s="14" t="str">
        <f aca="false">IFERROR(VLOOKUP(D86,Role_Mapping!$A$5:$D$31,4,FALSE()),"UNMAPPED")</f>
        <v>Full Stack</v>
      </c>
      <c r="Q86" s="16" t="n">
        <f aca="false">$N86*MAX(0,(MIN($G86,DATE(2026,7,31))-MAX($E86,DATE(2026,7,1))+1))/$O86</f>
        <v>0</v>
      </c>
      <c r="R86" s="16" t="n">
        <f aca="false">$N86*MAX(0,(MIN($G86,DATE(2026,8,31))-MAX($E86,DATE(2026,8,1))+1))/$O86</f>
        <v>406.25</v>
      </c>
      <c r="S86" s="16" t="n">
        <f aca="false">$N86*MAX(0,(MIN($G86,DATE(2026,9,30))-MAX($E86,DATE(2026,9,1))+1))/$O86</f>
        <v>12187.5</v>
      </c>
      <c r="T86" s="16" t="n">
        <f aca="false">$N86*MAX(0,(MIN($G86,DATE(2026,10,31))-MAX($E86,DATE(2026,10,1))+1))/$O86</f>
        <v>2031.25</v>
      </c>
      <c r="U86" s="16" t="n">
        <f aca="false">$N86*MAX(0,(MIN($G86,DATE(2026,11,30))-MAX($E86,DATE(2026,11,1))+1))/$O86</f>
        <v>0</v>
      </c>
      <c r="V86" s="16" t="n">
        <f aca="false">$N86*MAX(0,(MIN($G86,DATE(2026,12,31))-MAX($E86,DATE(2026,12,1))+1))/$O86</f>
        <v>0</v>
      </c>
      <c r="W86" s="17" t="n">
        <f aca="false">$H86*MAX(0,(MIN($G86,DATE(2026,7,31))-MAX($E86,DATE(2026,7,1))+1))/30.4</f>
        <v>0</v>
      </c>
      <c r="X86" s="17" t="n">
        <f aca="false">$H86*MAX(0,(MIN($G86,DATE(2026,8,31))-MAX($E86,DATE(2026,8,1))+1))/30.4</f>
        <v>0.0328947368421053</v>
      </c>
      <c r="Y86" s="17" t="n">
        <f aca="false">$H86*MAX(0,(MIN($G86,DATE(2026,9,30))-MAX($E86,DATE(2026,9,1))+1))/30.4</f>
        <v>0.986842105263158</v>
      </c>
      <c r="Z86" s="17" t="n">
        <f aca="false">$H86*MAX(0,(MIN($G86,DATE(2026,10,31))-MAX($E86,DATE(2026,10,1))+1))/30.4</f>
        <v>0.164473684210526</v>
      </c>
      <c r="AA86" s="17" t="n">
        <f aca="false">$H86*MAX(0,(MIN($G86,DATE(2026,11,30))-MAX($E86,DATE(2026,11,1))+1))/30.4</f>
        <v>0</v>
      </c>
      <c r="AB86" s="17" t="n">
        <f aca="false">$H86*MAX(0,(MIN($G86,DATE(2026,12,31))-MAX($E86,DATE(2026,12,1))+1))/30.4</f>
        <v>0</v>
      </c>
    </row>
    <row r="87" customFormat="false" ht="15" hidden="false" customHeight="false" outlineLevel="0" collapsed="false">
      <c r="A87" s="10" t="n">
        <v>37</v>
      </c>
      <c r="B87" s="10" t="n">
        <v>3</v>
      </c>
      <c r="C87" s="10" t="s">
        <v>131</v>
      </c>
      <c r="D87" s="10" t="s">
        <v>62</v>
      </c>
      <c r="E87" s="12" t="n">
        <v>46209</v>
      </c>
      <c r="F87" s="10" t="n">
        <v>4</v>
      </c>
      <c r="G87" s="12" t="n">
        <v>46237</v>
      </c>
      <c r="H87" s="13" t="n">
        <v>0.125</v>
      </c>
      <c r="I87" s="10" t="s">
        <v>113</v>
      </c>
      <c r="J87" s="14" t="str">
        <f aca="false">IFERROR(VLOOKUP(D87,Role_Mapping!$A$5:$D$31,2,FALSE()),"UNMAPPED")</f>
        <v>Associate Partner</v>
      </c>
      <c r="K87" s="14" t="str">
        <f aca="false">IFERROR(VLOOKUP(D87,Role_Mapping!$A$5:$D$31,3,FALSE()),"IN")</f>
        <v>UK</v>
      </c>
      <c r="L87" s="15" t="n">
        <f aca="false">IFERROR(SUMPRODUCT((Rate_Card!$A$5:$A$34=J87)*(Rate_Card!$B$5:$B$34=K87)*Rate_Card!$C$5:$C$34),0)</f>
        <v>3526</v>
      </c>
      <c r="M87" s="10" t="n">
        <f aca="false">F87*5</f>
        <v>20</v>
      </c>
      <c r="N87" s="16" t="n">
        <f aca="false">L87*M87*H87</f>
        <v>8815</v>
      </c>
      <c r="O87" s="10" t="n">
        <f aca="false">(G87-E87)+1</f>
        <v>29</v>
      </c>
      <c r="P87" s="14" t="str">
        <f aca="false">IFERROR(VLOOKUP(D87,Role_Mapping!$A$5:$D$31,4,FALSE()),"UNMAPPED")</f>
        <v>GTM</v>
      </c>
      <c r="Q87" s="16" t="n">
        <f aca="false">$N87*MAX(0,(MIN($G87,DATE(2026,7,31))-MAX($E87,DATE(2026,7,1))+1))/$O87</f>
        <v>7903.10344827586</v>
      </c>
      <c r="R87" s="16" t="n">
        <f aca="false">$N87*MAX(0,(MIN($G87,DATE(2026,8,31))-MAX($E87,DATE(2026,8,1))+1))/$O87</f>
        <v>911.896551724138</v>
      </c>
      <c r="S87" s="16" t="n">
        <f aca="false">$N87*MAX(0,(MIN($G87,DATE(2026,9,30))-MAX($E87,DATE(2026,9,1))+1))/$O87</f>
        <v>0</v>
      </c>
      <c r="T87" s="16" t="n">
        <f aca="false">$N87*MAX(0,(MIN($G87,DATE(2026,10,31))-MAX($E87,DATE(2026,10,1))+1))/$O87</f>
        <v>0</v>
      </c>
      <c r="U87" s="16" t="n">
        <f aca="false">$N87*MAX(0,(MIN($G87,DATE(2026,11,30))-MAX($E87,DATE(2026,11,1))+1))/$O87</f>
        <v>0</v>
      </c>
      <c r="V87" s="16" t="n">
        <f aca="false">$N87*MAX(0,(MIN($G87,DATE(2026,12,31))-MAX($E87,DATE(2026,12,1))+1))/$O87</f>
        <v>0</v>
      </c>
      <c r="W87" s="17" t="n">
        <f aca="false">$H87*MAX(0,(MIN($G87,DATE(2026,7,31))-MAX($E87,DATE(2026,7,1))+1))/30.4</f>
        <v>0.106907894736842</v>
      </c>
      <c r="X87" s="17" t="n">
        <f aca="false">$H87*MAX(0,(MIN($G87,DATE(2026,8,31))-MAX($E87,DATE(2026,8,1))+1))/30.4</f>
        <v>0.0123355263157895</v>
      </c>
      <c r="Y87" s="17" t="n">
        <f aca="false">$H87*MAX(0,(MIN($G87,DATE(2026,9,30))-MAX($E87,DATE(2026,9,1))+1))/30.4</f>
        <v>0</v>
      </c>
      <c r="Z87" s="17" t="n">
        <f aca="false">$H87*MAX(0,(MIN($G87,DATE(2026,10,31))-MAX($E87,DATE(2026,10,1))+1))/30.4</f>
        <v>0</v>
      </c>
      <c r="AA87" s="17" t="n">
        <f aca="false">$H87*MAX(0,(MIN($G87,DATE(2026,11,30))-MAX($E87,DATE(2026,11,1))+1))/30.4</f>
        <v>0</v>
      </c>
      <c r="AB87" s="17" t="n">
        <f aca="false">$H87*MAX(0,(MIN($G87,DATE(2026,12,31))-MAX($E87,DATE(2026,12,1))+1))/30.4</f>
        <v>0</v>
      </c>
    </row>
    <row r="88" customFormat="false" ht="15" hidden="false" customHeight="false" outlineLevel="0" collapsed="false">
      <c r="A88" s="10" t="n">
        <v>38</v>
      </c>
      <c r="B88" s="10" t="n">
        <v>3</v>
      </c>
      <c r="C88" s="10"/>
      <c r="D88" s="10" t="s">
        <v>72</v>
      </c>
      <c r="E88" s="12" t="n">
        <v>46209</v>
      </c>
      <c r="F88" s="10" t="n">
        <v>5</v>
      </c>
      <c r="G88" s="12" t="n">
        <v>46244</v>
      </c>
      <c r="H88" s="13" t="n">
        <v>0.5</v>
      </c>
      <c r="I88" s="10" t="s">
        <v>113</v>
      </c>
      <c r="J88" s="14" t="str">
        <f aca="false">IFERROR(VLOOKUP(D88,Role_Mapping!$A$5:$D$31,2,FALSE()),"UNMAPPED")</f>
        <v>Senior Consultant</v>
      </c>
      <c r="K88" s="14" t="str">
        <f aca="false">IFERROR(VLOOKUP(D88,Role_Mapping!$A$5:$D$31,3,FALSE()),"IN")</f>
        <v>UK</v>
      </c>
      <c r="L88" s="15" t="n">
        <f aca="false">IFERROR(SUMPRODUCT((Rate_Card!$A$5:$A$34=J88)*(Rate_Card!$B$5:$B$34=K88)*Rate_Card!$C$5:$C$34),0)</f>
        <v>2798</v>
      </c>
      <c r="M88" s="10" t="n">
        <f aca="false">F88*5</f>
        <v>25</v>
      </c>
      <c r="N88" s="16" t="n">
        <f aca="false">L88*M88*H88</f>
        <v>34975</v>
      </c>
      <c r="O88" s="10" t="n">
        <f aca="false">(G88-E88)+1</f>
        <v>36</v>
      </c>
      <c r="P88" s="14" t="str">
        <f aca="false">IFERROR(VLOOKUP(D88,Role_Mapping!$A$5:$D$31,4,FALSE()),"UNMAPPED")</f>
        <v>Consulting</v>
      </c>
      <c r="Q88" s="16" t="n">
        <f aca="false">$N88*MAX(0,(MIN($G88,DATE(2026,7,31))-MAX($E88,DATE(2026,7,1))+1))/$O88</f>
        <v>25259.7222222222</v>
      </c>
      <c r="R88" s="16" t="n">
        <f aca="false">$N88*MAX(0,(MIN($G88,DATE(2026,8,31))-MAX($E88,DATE(2026,8,1))+1))/$O88</f>
        <v>9715.27777777778</v>
      </c>
      <c r="S88" s="16" t="n">
        <f aca="false">$N88*MAX(0,(MIN($G88,DATE(2026,9,30))-MAX($E88,DATE(2026,9,1))+1))/$O88</f>
        <v>0</v>
      </c>
      <c r="T88" s="16" t="n">
        <f aca="false">$N88*MAX(0,(MIN($G88,DATE(2026,10,31))-MAX($E88,DATE(2026,10,1))+1))/$O88</f>
        <v>0</v>
      </c>
      <c r="U88" s="16" t="n">
        <f aca="false">$N88*MAX(0,(MIN($G88,DATE(2026,11,30))-MAX($E88,DATE(2026,11,1))+1))/$O88</f>
        <v>0</v>
      </c>
      <c r="V88" s="16" t="n">
        <f aca="false">$N88*MAX(0,(MIN($G88,DATE(2026,12,31))-MAX($E88,DATE(2026,12,1))+1))/$O88</f>
        <v>0</v>
      </c>
      <c r="W88" s="17" t="n">
        <f aca="false">$H88*MAX(0,(MIN($G88,DATE(2026,7,31))-MAX($E88,DATE(2026,7,1))+1))/30.4</f>
        <v>0.427631578947368</v>
      </c>
      <c r="X88" s="17" t="n">
        <f aca="false">$H88*MAX(0,(MIN($G88,DATE(2026,8,31))-MAX($E88,DATE(2026,8,1))+1))/30.4</f>
        <v>0.164473684210526</v>
      </c>
      <c r="Y88" s="17" t="n">
        <f aca="false">$H88*MAX(0,(MIN($G88,DATE(2026,9,30))-MAX($E88,DATE(2026,9,1))+1))/30.4</f>
        <v>0</v>
      </c>
      <c r="Z88" s="17" t="n">
        <f aca="false">$H88*MAX(0,(MIN($G88,DATE(2026,10,31))-MAX($E88,DATE(2026,10,1))+1))/30.4</f>
        <v>0</v>
      </c>
      <c r="AA88" s="17" t="n">
        <f aca="false">$H88*MAX(0,(MIN($G88,DATE(2026,11,30))-MAX($E88,DATE(2026,11,1))+1))/30.4</f>
        <v>0</v>
      </c>
      <c r="AB88" s="17" t="n">
        <f aca="false">$H88*MAX(0,(MIN($G88,DATE(2026,12,31))-MAX($E88,DATE(2026,12,1))+1))/30.4</f>
        <v>0</v>
      </c>
    </row>
    <row r="89" customFormat="false" ht="15" hidden="false" customHeight="false" outlineLevel="0" collapsed="false">
      <c r="A89" s="10" t="n">
        <v>39</v>
      </c>
      <c r="B89" s="10" t="n">
        <v>3</v>
      </c>
      <c r="C89" s="10"/>
      <c r="D89" s="10" t="s">
        <v>45</v>
      </c>
      <c r="E89" s="12" t="n">
        <v>46209</v>
      </c>
      <c r="F89" s="10" t="n">
        <v>5</v>
      </c>
      <c r="G89" s="12" t="n">
        <v>46244</v>
      </c>
      <c r="H89" s="13" t="n">
        <v>1</v>
      </c>
      <c r="I89" s="10" t="s">
        <v>113</v>
      </c>
      <c r="J89" s="14" t="str">
        <f aca="false">IFERROR(VLOOKUP(D89,Role_Mapping!$A$5:$D$31,2,FALSE()),"UNMAPPED")</f>
        <v>Associate Consultant</v>
      </c>
      <c r="K89" s="14" t="str">
        <f aca="false">IFERROR(VLOOKUP(D89,Role_Mapping!$A$5:$D$31,3,FALSE()),"IN")</f>
        <v>IN</v>
      </c>
      <c r="L89" s="15" t="n">
        <f aca="false">IFERROR(SUMPRODUCT((Rate_Card!$A$5:$A$34=J89)*(Rate_Card!$B$5:$B$34=K89)*Rate_Card!$C$5:$C$34),0)</f>
        <v>585</v>
      </c>
      <c r="M89" s="10" t="n">
        <f aca="false">F89*5</f>
        <v>25</v>
      </c>
      <c r="N89" s="16" t="n">
        <f aca="false">L89*M89*H89</f>
        <v>14625</v>
      </c>
      <c r="O89" s="10" t="n">
        <f aca="false">(G89-E89)+1</f>
        <v>36</v>
      </c>
      <c r="P89" s="14" t="str">
        <f aca="false">IFERROR(VLOOKUP(D89,Role_Mapping!$A$5:$D$31,4,FALSE()),"UNMAPPED")</f>
        <v>Consulting</v>
      </c>
      <c r="Q89" s="16" t="n">
        <f aca="false">$N89*MAX(0,(MIN($G89,DATE(2026,7,31))-MAX($E89,DATE(2026,7,1))+1))/$O89</f>
        <v>10562.5</v>
      </c>
      <c r="R89" s="16" t="n">
        <f aca="false">$N89*MAX(0,(MIN($G89,DATE(2026,8,31))-MAX($E89,DATE(2026,8,1))+1))/$O89</f>
        <v>4062.5</v>
      </c>
      <c r="S89" s="16" t="n">
        <f aca="false">$N89*MAX(0,(MIN($G89,DATE(2026,9,30))-MAX($E89,DATE(2026,9,1))+1))/$O89</f>
        <v>0</v>
      </c>
      <c r="T89" s="16" t="n">
        <f aca="false">$N89*MAX(0,(MIN($G89,DATE(2026,10,31))-MAX($E89,DATE(2026,10,1))+1))/$O89</f>
        <v>0</v>
      </c>
      <c r="U89" s="16" t="n">
        <f aca="false">$N89*MAX(0,(MIN($G89,DATE(2026,11,30))-MAX($E89,DATE(2026,11,1))+1))/$O89</f>
        <v>0</v>
      </c>
      <c r="V89" s="16" t="n">
        <f aca="false">$N89*MAX(0,(MIN($G89,DATE(2026,12,31))-MAX($E89,DATE(2026,12,1))+1))/$O89</f>
        <v>0</v>
      </c>
      <c r="W89" s="17" t="n">
        <f aca="false">$H89*MAX(0,(MIN($G89,DATE(2026,7,31))-MAX($E89,DATE(2026,7,1))+1))/30.4</f>
        <v>0.855263157894737</v>
      </c>
      <c r="X89" s="17" t="n">
        <f aca="false">$H89*MAX(0,(MIN($G89,DATE(2026,8,31))-MAX($E89,DATE(2026,8,1))+1))/30.4</f>
        <v>0.328947368421053</v>
      </c>
      <c r="Y89" s="17" t="n">
        <f aca="false">$H89*MAX(0,(MIN($G89,DATE(2026,9,30))-MAX($E89,DATE(2026,9,1))+1))/30.4</f>
        <v>0</v>
      </c>
      <c r="Z89" s="17" t="n">
        <f aca="false">$H89*MAX(0,(MIN($G89,DATE(2026,10,31))-MAX($E89,DATE(2026,10,1))+1))/30.4</f>
        <v>0</v>
      </c>
      <c r="AA89" s="17" t="n">
        <f aca="false">$H89*MAX(0,(MIN($G89,DATE(2026,11,30))-MAX($E89,DATE(2026,11,1))+1))/30.4</f>
        <v>0</v>
      </c>
      <c r="AB89" s="17" t="n">
        <f aca="false">$H89*MAX(0,(MIN($G89,DATE(2026,12,31))-MAX($E89,DATE(2026,12,1))+1))/30.4</f>
        <v>0</v>
      </c>
    </row>
    <row r="90" customFormat="false" ht="15" hidden="false" customHeight="false" outlineLevel="0" collapsed="false">
      <c r="A90" s="10" t="n">
        <v>40</v>
      </c>
      <c r="B90" s="10" t="n">
        <v>3</v>
      </c>
      <c r="C90" s="10"/>
      <c r="D90" s="10" t="s">
        <v>64</v>
      </c>
      <c r="E90" s="12" t="n">
        <v>46209</v>
      </c>
      <c r="F90" s="10" t="n">
        <v>5</v>
      </c>
      <c r="G90" s="12" t="n">
        <v>46244</v>
      </c>
      <c r="H90" s="13" t="n">
        <v>0.25</v>
      </c>
      <c r="I90" s="10" t="s">
        <v>113</v>
      </c>
      <c r="J90" s="14" t="str">
        <f aca="false">IFERROR(VLOOKUP(D90,Role_Mapping!$A$5:$D$31,2,FALSE()),"UNMAPPED")</f>
        <v>Principal Technology Architect</v>
      </c>
      <c r="K90" s="14" t="str">
        <f aca="false">IFERROR(VLOOKUP(D90,Role_Mapping!$A$5:$D$31,3,FALSE()),"IN")</f>
        <v>IN</v>
      </c>
      <c r="L90" s="15" t="n">
        <f aca="false">IFERROR(SUMPRODUCT((Rate_Card!$A$5:$A$34=J90)*(Rate_Card!$B$5:$B$34=K90)*Rate_Card!$C$5:$C$34),0)</f>
        <v>845</v>
      </c>
      <c r="M90" s="10" t="n">
        <f aca="false">F90*5</f>
        <v>25</v>
      </c>
      <c r="N90" s="16" t="n">
        <f aca="false">L90*M90*H90</f>
        <v>5281.25</v>
      </c>
      <c r="O90" s="10" t="n">
        <f aca="false">(G90-E90)+1</f>
        <v>36</v>
      </c>
      <c r="P90" s="14" t="str">
        <f aca="false">IFERROR(VLOOKUP(D90,Role_Mapping!$A$5:$D$31,4,FALSE()),"UNMAPPED")</f>
        <v>Full Stack</v>
      </c>
      <c r="Q90" s="16" t="n">
        <f aca="false">$N90*MAX(0,(MIN($G90,DATE(2026,7,31))-MAX($E90,DATE(2026,7,1))+1))/$O90</f>
        <v>3814.23611111111</v>
      </c>
      <c r="R90" s="16" t="n">
        <f aca="false">$N90*MAX(0,(MIN($G90,DATE(2026,8,31))-MAX($E90,DATE(2026,8,1))+1))/$O90</f>
        <v>1467.01388888889</v>
      </c>
      <c r="S90" s="16" t="n">
        <f aca="false">$N90*MAX(0,(MIN($G90,DATE(2026,9,30))-MAX($E90,DATE(2026,9,1))+1))/$O90</f>
        <v>0</v>
      </c>
      <c r="T90" s="16" t="n">
        <f aca="false">$N90*MAX(0,(MIN($G90,DATE(2026,10,31))-MAX($E90,DATE(2026,10,1))+1))/$O90</f>
        <v>0</v>
      </c>
      <c r="U90" s="16" t="n">
        <f aca="false">$N90*MAX(0,(MIN($G90,DATE(2026,11,30))-MAX($E90,DATE(2026,11,1))+1))/$O90</f>
        <v>0</v>
      </c>
      <c r="V90" s="16" t="n">
        <f aca="false">$N90*MAX(0,(MIN($G90,DATE(2026,12,31))-MAX($E90,DATE(2026,12,1))+1))/$O90</f>
        <v>0</v>
      </c>
      <c r="W90" s="17" t="n">
        <f aca="false">$H90*MAX(0,(MIN($G90,DATE(2026,7,31))-MAX($E90,DATE(2026,7,1))+1))/30.4</f>
        <v>0.213815789473684</v>
      </c>
      <c r="X90" s="17" t="n">
        <f aca="false">$H90*MAX(0,(MIN($G90,DATE(2026,8,31))-MAX($E90,DATE(2026,8,1))+1))/30.4</f>
        <v>0.0822368421052632</v>
      </c>
      <c r="Y90" s="17" t="n">
        <f aca="false">$H90*MAX(0,(MIN($G90,DATE(2026,9,30))-MAX($E90,DATE(2026,9,1))+1))/30.4</f>
        <v>0</v>
      </c>
      <c r="Z90" s="17" t="n">
        <f aca="false">$H90*MAX(0,(MIN($G90,DATE(2026,10,31))-MAX($E90,DATE(2026,10,1))+1))/30.4</f>
        <v>0</v>
      </c>
      <c r="AA90" s="17" t="n">
        <f aca="false">$H90*MAX(0,(MIN($G90,DATE(2026,11,30))-MAX($E90,DATE(2026,11,1))+1))/30.4</f>
        <v>0</v>
      </c>
      <c r="AB90" s="17" t="n">
        <f aca="false">$H90*MAX(0,(MIN($G90,DATE(2026,12,31))-MAX($E90,DATE(2026,12,1))+1))/30.4</f>
        <v>0</v>
      </c>
    </row>
    <row r="91" customFormat="false" ht="15" hidden="false" customHeight="false" outlineLevel="0" collapsed="false">
      <c r="A91" s="10" t="n">
        <v>41</v>
      </c>
      <c r="B91" s="10" t="n">
        <v>3</v>
      </c>
      <c r="C91" s="10"/>
      <c r="D91" s="10" t="s">
        <v>80</v>
      </c>
      <c r="E91" s="12" t="n">
        <v>46209</v>
      </c>
      <c r="F91" s="10" t="n">
        <v>5</v>
      </c>
      <c r="G91" s="12" t="n">
        <v>46244</v>
      </c>
      <c r="H91" s="13" t="n">
        <v>1</v>
      </c>
      <c r="I91" s="10" t="s">
        <v>113</v>
      </c>
      <c r="J91" s="14" t="str">
        <f aca="false">IFERROR(VLOOKUP(D91,Role_Mapping!$A$5:$D$31,2,FALSE()),"UNMAPPED")</f>
        <v>Solutions Consultant</v>
      </c>
      <c r="K91" s="14" t="str">
        <f aca="false">IFERROR(VLOOKUP(D91,Role_Mapping!$A$5:$D$31,3,FALSE()),"IN")</f>
        <v>IN</v>
      </c>
      <c r="L91" s="15" t="n">
        <f aca="false">IFERROR(SUMPRODUCT((Rate_Card!$A$5:$A$34=J91)*(Rate_Card!$B$5:$B$34=K91)*Rate_Card!$C$5:$C$34),0)</f>
        <v>683</v>
      </c>
      <c r="M91" s="10" t="n">
        <f aca="false">F91*5</f>
        <v>25</v>
      </c>
      <c r="N91" s="16" t="n">
        <f aca="false">L91*M91*H91</f>
        <v>17075</v>
      </c>
      <c r="O91" s="10" t="n">
        <f aca="false">(G91-E91)+1</f>
        <v>36</v>
      </c>
      <c r="P91" s="14" t="str">
        <f aca="false">IFERROR(VLOOKUP(D91,Role_Mapping!$A$5:$D$31,4,FALSE()),"UNMAPPED")</f>
        <v>Power BI &amp; Consulting</v>
      </c>
      <c r="Q91" s="16" t="n">
        <f aca="false">$N91*MAX(0,(MIN($G91,DATE(2026,7,31))-MAX($E91,DATE(2026,7,1))+1))/$O91</f>
        <v>12331.9444444444</v>
      </c>
      <c r="R91" s="16" t="n">
        <f aca="false">$N91*MAX(0,(MIN($G91,DATE(2026,8,31))-MAX($E91,DATE(2026,8,1))+1))/$O91</f>
        <v>4743.05555555556</v>
      </c>
      <c r="S91" s="16" t="n">
        <f aca="false">$N91*MAX(0,(MIN($G91,DATE(2026,9,30))-MAX($E91,DATE(2026,9,1))+1))/$O91</f>
        <v>0</v>
      </c>
      <c r="T91" s="16" t="n">
        <f aca="false">$N91*MAX(0,(MIN($G91,DATE(2026,10,31))-MAX($E91,DATE(2026,10,1))+1))/$O91</f>
        <v>0</v>
      </c>
      <c r="U91" s="16" t="n">
        <f aca="false">$N91*MAX(0,(MIN($G91,DATE(2026,11,30))-MAX($E91,DATE(2026,11,1))+1))/$O91</f>
        <v>0</v>
      </c>
      <c r="V91" s="16" t="n">
        <f aca="false">$N91*MAX(0,(MIN($G91,DATE(2026,12,31))-MAX($E91,DATE(2026,12,1))+1))/$O91</f>
        <v>0</v>
      </c>
      <c r="W91" s="17" t="n">
        <f aca="false">$H91*MAX(0,(MIN($G91,DATE(2026,7,31))-MAX($E91,DATE(2026,7,1))+1))/30.4</f>
        <v>0.855263157894737</v>
      </c>
      <c r="X91" s="17" t="n">
        <f aca="false">$H91*MAX(0,(MIN($G91,DATE(2026,8,31))-MAX($E91,DATE(2026,8,1))+1))/30.4</f>
        <v>0.328947368421053</v>
      </c>
      <c r="Y91" s="17" t="n">
        <f aca="false">$H91*MAX(0,(MIN($G91,DATE(2026,9,30))-MAX($E91,DATE(2026,9,1))+1))/30.4</f>
        <v>0</v>
      </c>
      <c r="Z91" s="17" t="n">
        <f aca="false">$H91*MAX(0,(MIN($G91,DATE(2026,10,31))-MAX($E91,DATE(2026,10,1))+1))/30.4</f>
        <v>0</v>
      </c>
      <c r="AA91" s="17" t="n">
        <f aca="false">$H91*MAX(0,(MIN($G91,DATE(2026,11,30))-MAX($E91,DATE(2026,11,1))+1))/30.4</f>
        <v>0</v>
      </c>
      <c r="AB91" s="17" t="n">
        <f aca="false">$H91*MAX(0,(MIN($G91,DATE(2026,12,31))-MAX($E91,DATE(2026,12,1))+1))/30.4</f>
        <v>0</v>
      </c>
    </row>
    <row r="92" customFormat="false" ht="15" hidden="false" customHeight="false" outlineLevel="0" collapsed="false">
      <c r="A92" s="10" t="n">
        <v>42</v>
      </c>
      <c r="B92" s="10" t="n">
        <v>3</v>
      </c>
      <c r="C92" s="10"/>
      <c r="D92" s="10" t="s">
        <v>76</v>
      </c>
      <c r="E92" s="12" t="n">
        <v>46209</v>
      </c>
      <c r="F92" s="10" t="n">
        <v>5</v>
      </c>
      <c r="G92" s="12" t="n">
        <v>46244</v>
      </c>
      <c r="H92" s="13" t="n">
        <v>1</v>
      </c>
      <c r="I92" s="10" t="s">
        <v>113</v>
      </c>
      <c r="J92" s="14" t="str">
        <f aca="false">IFERROR(VLOOKUP(D92,Role_Mapping!$A$5:$D$31,2,FALSE()),"UNMAPPED")</f>
        <v>Senior Software Engineer</v>
      </c>
      <c r="K92" s="14" t="str">
        <f aca="false">IFERROR(VLOOKUP(D92,Role_Mapping!$A$5:$D$31,3,FALSE()),"IN")</f>
        <v>IN</v>
      </c>
      <c r="L92" s="15" t="n">
        <f aca="false">IFERROR(SUMPRODUCT((Rate_Card!$A$5:$A$34=J92)*(Rate_Card!$B$5:$B$34=K92)*Rate_Card!$C$5:$C$34),0)</f>
        <v>585</v>
      </c>
      <c r="M92" s="10" t="n">
        <f aca="false">F92*5</f>
        <v>25</v>
      </c>
      <c r="N92" s="16" t="n">
        <f aca="false">L92*M92*H92</f>
        <v>14625</v>
      </c>
      <c r="O92" s="10" t="n">
        <f aca="false">(G92-E92)+1</f>
        <v>36</v>
      </c>
      <c r="P92" s="14" t="str">
        <f aca="false">IFERROR(VLOOKUP(D92,Role_Mapping!$A$5:$D$31,4,FALSE()),"UNMAPPED")</f>
        <v>Full Stack</v>
      </c>
      <c r="Q92" s="16" t="n">
        <f aca="false">$N92*MAX(0,(MIN($G92,DATE(2026,7,31))-MAX($E92,DATE(2026,7,1))+1))/$O92</f>
        <v>10562.5</v>
      </c>
      <c r="R92" s="16" t="n">
        <f aca="false">$N92*MAX(0,(MIN($G92,DATE(2026,8,31))-MAX($E92,DATE(2026,8,1))+1))/$O92</f>
        <v>4062.5</v>
      </c>
      <c r="S92" s="16" t="n">
        <f aca="false">$N92*MAX(0,(MIN($G92,DATE(2026,9,30))-MAX($E92,DATE(2026,9,1))+1))/$O92</f>
        <v>0</v>
      </c>
      <c r="T92" s="16" t="n">
        <f aca="false">$N92*MAX(0,(MIN($G92,DATE(2026,10,31))-MAX($E92,DATE(2026,10,1))+1))/$O92</f>
        <v>0</v>
      </c>
      <c r="U92" s="16" t="n">
        <f aca="false">$N92*MAX(0,(MIN($G92,DATE(2026,11,30))-MAX($E92,DATE(2026,11,1))+1))/$O92</f>
        <v>0</v>
      </c>
      <c r="V92" s="16" t="n">
        <f aca="false">$N92*MAX(0,(MIN($G92,DATE(2026,12,31))-MAX($E92,DATE(2026,12,1))+1))/$O92</f>
        <v>0</v>
      </c>
      <c r="W92" s="17" t="n">
        <f aca="false">$H92*MAX(0,(MIN($G92,DATE(2026,7,31))-MAX($E92,DATE(2026,7,1))+1))/30.4</f>
        <v>0.855263157894737</v>
      </c>
      <c r="X92" s="17" t="n">
        <f aca="false">$H92*MAX(0,(MIN($G92,DATE(2026,8,31))-MAX($E92,DATE(2026,8,1))+1))/30.4</f>
        <v>0.328947368421053</v>
      </c>
      <c r="Y92" s="17" t="n">
        <f aca="false">$H92*MAX(0,(MIN($G92,DATE(2026,9,30))-MAX($E92,DATE(2026,9,1))+1))/30.4</f>
        <v>0</v>
      </c>
      <c r="Z92" s="17" t="n">
        <f aca="false">$H92*MAX(0,(MIN($G92,DATE(2026,10,31))-MAX($E92,DATE(2026,10,1))+1))/30.4</f>
        <v>0</v>
      </c>
      <c r="AA92" s="17" t="n">
        <f aca="false">$H92*MAX(0,(MIN($G92,DATE(2026,11,30))-MAX($E92,DATE(2026,11,1))+1))/30.4</f>
        <v>0</v>
      </c>
      <c r="AB92" s="17" t="n">
        <f aca="false">$H92*MAX(0,(MIN($G92,DATE(2026,12,31))-MAX($E92,DATE(2026,12,1))+1))/30.4</f>
        <v>0</v>
      </c>
    </row>
    <row r="93" customFormat="false" ht="15" hidden="false" customHeight="false" outlineLevel="0" collapsed="false">
      <c r="A93" s="10" t="n">
        <v>43</v>
      </c>
      <c r="B93" s="10" t="n">
        <v>3</v>
      </c>
      <c r="C93" s="10"/>
      <c r="D93" s="10" t="s">
        <v>76</v>
      </c>
      <c r="E93" s="12" t="n">
        <v>46209</v>
      </c>
      <c r="F93" s="10" t="n">
        <v>5</v>
      </c>
      <c r="G93" s="12" t="n">
        <v>46244</v>
      </c>
      <c r="H93" s="13" t="n">
        <v>1</v>
      </c>
      <c r="I93" s="10" t="s">
        <v>113</v>
      </c>
      <c r="J93" s="14" t="str">
        <f aca="false">IFERROR(VLOOKUP(D93,Role_Mapping!$A$5:$D$31,2,FALSE()),"UNMAPPED")</f>
        <v>Senior Software Engineer</v>
      </c>
      <c r="K93" s="14" t="str">
        <f aca="false">IFERROR(VLOOKUP(D93,Role_Mapping!$A$5:$D$31,3,FALSE()),"IN")</f>
        <v>IN</v>
      </c>
      <c r="L93" s="15" t="n">
        <f aca="false">IFERROR(SUMPRODUCT((Rate_Card!$A$5:$A$34=J93)*(Rate_Card!$B$5:$B$34=K93)*Rate_Card!$C$5:$C$34),0)</f>
        <v>585</v>
      </c>
      <c r="M93" s="10" t="n">
        <f aca="false">F93*5</f>
        <v>25</v>
      </c>
      <c r="N93" s="16" t="n">
        <f aca="false">L93*M93*H93</f>
        <v>14625</v>
      </c>
      <c r="O93" s="10" t="n">
        <f aca="false">(G93-E93)+1</f>
        <v>36</v>
      </c>
      <c r="P93" s="14" t="str">
        <f aca="false">IFERROR(VLOOKUP(D93,Role_Mapping!$A$5:$D$31,4,FALSE()),"UNMAPPED")</f>
        <v>Full Stack</v>
      </c>
      <c r="Q93" s="16" t="n">
        <f aca="false">$N93*MAX(0,(MIN($G93,DATE(2026,7,31))-MAX($E93,DATE(2026,7,1))+1))/$O93</f>
        <v>10562.5</v>
      </c>
      <c r="R93" s="16" t="n">
        <f aca="false">$N93*MAX(0,(MIN($G93,DATE(2026,8,31))-MAX($E93,DATE(2026,8,1))+1))/$O93</f>
        <v>4062.5</v>
      </c>
      <c r="S93" s="16" t="n">
        <f aca="false">$N93*MAX(0,(MIN($G93,DATE(2026,9,30))-MAX($E93,DATE(2026,9,1))+1))/$O93</f>
        <v>0</v>
      </c>
      <c r="T93" s="16" t="n">
        <f aca="false">$N93*MAX(0,(MIN($G93,DATE(2026,10,31))-MAX($E93,DATE(2026,10,1))+1))/$O93</f>
        <v>0</v>
      </c>
      <c r="U93" s="16" t="n">
        <f aca="false">$N93*MAX(0,(MIN($G93,DATE(2026,11,30))-MAX($E93,DATE(2026,11,1))+1))/$O93</f>
        <v>0</v>
      </c>
      <c r="V93" s="16" t="n">
        <f aca="false">$N93*MAX(0,(MIN($G93,DATE(2026,12,31))-MAX($E93,DATE(2026,12,1))+1))/$O93</f>
        <v>0</v>
      </c>
      <c r="W93" s="17" t="n">
        <f aca="false">$H93*MAX(0,(MIN($G93,DATE(2026,7,31))-MAX($E93,DATE(2026,7,1))+1))/30.4</f>
        <v>0.855263157894737</v>
      </c>
      <c r="X93" s="17" t="n">
        <f aca="false">$H93*MAX(0,(MIN($G93,DATE(2026,8,31))-MAX($E93,DATE(2026,8,1))+1))/30.4</f>
        <v>0.328947368421053</v>
      </c>
      <c r="Y93" s="17" t="n">
        <f aca="false">$H93*MAX(0,(MIN($G93,DATE(2026,9,30))-MAX($E93,DATE(2026,9,1))+1))/30.4</f>
        <v>0</v>
      </c>
      <c r="Z93" s="17" t="n">
        <f aca="false">$H93*MAX(0,(MIN($G93,DATE(2026,10,31))-MAX($E93,DATE(2026,10,1))+1))/30.4</f>
        <v>0</v>
      </c>
      <c r="AA93" s="17" t="n">
        <f aca="false">$H93*MAX(0,(MIN($G93,DATE(2026,11,30))-MAX($E93,DATE(2026,11,1))+1))/30.4</f>
        <v>0</v>
      </c>
      <c r="AB93" s="17" t="n">
        <f aca="false">$H93*MAX(0,(MIN($G93,DATE(2026,12,31))-MAX($E93,DATE(2026,12,1))+1))/30.4</f>
        <v>0</v>
      </c>
    </row>
    <row r="94" customFormat="false" ht="15" hidden="false" customHeight="false" outlineLevel="0" collapsed="false">
      <c r="A94" s="10" t="n">
        <v>44</v>
      </c>
      <c r="B94" s="10" t="n">
        <v>3</v>
      </c>
      <c r="C94" s="10" t="s">
        <v>132</v>
      </c>
      <c r="D94" s="10" t="s">
        <v>72</v>
      </c>
      <c r="E94" s="12" t="n">
        <v>46195</v>
      </c>
      <c r="F94" s="10" t="n">
        <v>2</v>
      </c>
      <c r="G94" s="12" t="n">
        <v>46209</v>
      </c>
      <c r="H94" s="13" t="n">
        <v>0.125</v>
      </c>
      <c r="I94" s="10" t="s">
        <v>126</v>
      </c>
      <c r="J94" s="14" t="str">
        <f aca="false">IFERROR(VLOOKUP(D94,Role_Mapping!$A$5:$D$31,2,FALSE()),"UNMAPPED")</f>
        <v>Senior Consultant</v>
      </c>
      <c r="K94" s="14" t="str">
        <f aca="false">IFERROR(VLOOKUP(D94,Role_Mapping!$A$5:$D$31,3,FALSE()),"IN")</f>
        <v>UK</v>
      </c>
      <c r="L94" s="15" t="n">
        <f aca="false">IFERROR(SUMPRODUCT((Rate_Card!$A$5:$A$34=J94)*(Rate_Card!$B$5:$B$34=K94)*Rate_Card!$C$5:$C$34),0)</f>
        <v>2798</v>
      </c>
      <c r="M94" s="10" t="n">
        <f aca="false">F94*5</f>
        <v>10</v>
      </c>
      <c r="N94" s="16" t="n">
        <f aca="false">L94*M94*H94</f>
        <v>3497.5</v>
      </c>
      <c r="O94" s="10" t="n">
        <f aca="false">(G94-E94)+1</f>
        <v>15</v>
      </c>
      <c r="P94" s="14" t="str">
        <f aca="false">IFERROR(VLOOKUP(D94,Role_Mapping!$A$5:$D$31,4,FALSE()),"UNMAPPED")</f>
        <v>Consulting</v>
      </c>
      <c r="Q94" s="16" t="n">
        <f aca="false">$N94*MAX(0,(MIN($G94,DATE(2026,7,31))-MAX($E94,DATE(2026,7,1))+1))/$O94</f>
        <v>1399</v>
      </c>
      <c r="R94" s="16" t="n">
        <f aca="false">$N94*MAX(0,(MIN($G94,DATE(2026,8,31))-MAX($E94,DATE(2026,8,1))+1))/$O94</f>
        <v>0</v>
      </c>
      <c r="S94" s="16" t="n">
        <f aca="false">$N94*MAX(0,(MIN($G94,DATE(2026,9,30))-MAX($E94,DATE(2026,9,1))+1))/$O94</f>
        <v>0</v>
      </c>
      <c r="T94" s="16" t="n">
        <f aca="false">$N94*MAX(0,(MIN($G94,DATE(2026,10,31))-MAX($E94,DATE(2026,10,1))+1))/$O94</f>
        <v>0</v>
      </c>
      <c r="U94" s="16" t="n">
        <f aca="false">$N94*MAX(0,(MIN($G94,DATE(2026,11,30))-MAX($E94,DATE(2026,11,1))+1))/$O94</f>
        <v>0</v>
      </c>
      <c r="V94" s="16" t="n">
        <f aca="false">$N94*MAX(0,(MIN($G94,DATE(2026,12,31))-MAX($E94,DATE(2026,12,1))+1))/$O94</f>
        <v>0</v>
      </c>
      <c r="W94" s="17" t="n">
        <f aca="false">$H94*MAX(0,(MIN($G94,DATE(2026,7,31))-MAX($E94,DATE(2026,7,1))+1))/30.4</f>
        <v>0.0246710526315789</v>
      </c>
      <c r="X94" s="17" t="n">
        <f aca="false">$H94*MAX(0,(MIN($G94,DATE(2026,8,31))-MAX($E94,DATE(2026,8,1))+1))/30.4</f>
        <v>0</v>
      </c>
      <c r="Y94" s="17" t="n">
        <f aca="false">$H94*MAX(0,(MIN($G94,DATE(2026,9,30))-MAX($E94,DATE(2026,9,1))+1))/30.4</f>
        <v>0</v>
      </c>
      <c r="Z94" s="17" t="n">
        <f aca="false">$H94*MAX(0,(MIN($G94,DATE(2026,10,31))-MAX($E94,DATE(2026,10,1))+1))/30.4</f>
        <v>0</v>
      </c>
      <c r="AA94" s="17" t="n">
        <f aca="false">$H94*MAX(0,(MIN($G94,DATE(2026,11,30))-MAX($E94,DATE(2026,11,1))+1))/30.4</f>
        <v>0</v>
      </c>
      <c r="AB94" s="17" t="n">
        <f aca="false">$H94*MAX(0,(MIN($G94,DATE(2026,12,31))-MAX($E94,DATE(2026,12,1))+1))/30.4</f>
        <v>0</v>
      </c>
    </row>
    <row r="95" customFormat="false" ht="15" hidden="false" customHeight="false" outlineLevel="0" collapsed="false">
      <c r="A95" s="10" t="n">
        <v>45</v>
      </c>
      <c r="B95" s="10" t="n">
        <v>3</v>
      </c>
      <c r="C95" s="10"/>
      <c r="D95" s="10" t="s">
        <v>76</v>
      </c>
      <c r="E95" s="12" t="n">
        <v>46195</v>
      </c>
      <c r="F95" s="10" t="n">
        <v>5</v>
      </c>
      <c r="G95" s="12" t="n">
        <v>46230</v>
      </c>
      <c r="H95" s="13" t="n">
        <v>1</v>
      </c>
      <c r="I95" s="10" t="s">
        <v>113</v>
      </c>
      <c r="J95" s="14" t="str">
        <f aca="false">IFERROR(VLOOKUP(D95,Role_Mapping!$A$5:$D$31,2,FALSE()),"UNMAPPED")</f>
        <v>Senior Software Engineer</v>
      </c>
      <c r="K95" s="14" t="str">
        <f aca="false">IFERROR(VLOOKUP(D95,Role_Mapping!$A$5:$D$31,3,FALSE()),"IN")</f>
        <v>IN</v>
      </c>
      <c r="L95" s="15" t="n">
        <f aca="false">IFERROR(SUMPRODUCT((Rate_Card!$A$5:$A$34=J95)*(Rate_Card!$B$5:$B$34=K95)*Rate_Card!$C$5:$C$34),0)</f>
        <v>585</v>
      </c>
      <c r="M95" s="10" t="n">
        <f aca="false">F95*5</f>
        <v>25</v>
      </c>
      <c r="N95" s="16" t="n">
        <f aca="false">L95*M95*H95</f>
        <v>14625</v>
      </c>
      <c r="O95" s="10" t="n">
        <f aca="false">(G95-E95)+1</f>
        <v>36</v>
      </c>
      <c r="P95" s="14" t="str">
        <f aca="false">IFERROR(VLOOKUP(D95,Role_Mapping!$A$5:$D$31,4,FALSE()),"UNMAPPED")</f>
        <v>Full Stack</v>
      </c>
      <c r="Q95" s="16" t="n">
        <f aca="false">$N95*MAX(0,(MIN($G95,DATE(2026,7,31))-MAX($E95,DATE(2026,7,1))+1))/$O95</f>
        <v>10968.75</v>
      </c>
      <c r="R95" s="16" t="n">
        <f aca="false">$N95*MAX(0,(MIN($G95,DATE(2026,8,31))-MAX($E95,DATE(2026,8,1))+1))/$O95</f>
        <v>0</v>
      </c>
      <c r="S95" s="16" t="n">
        <f aca="false">$N95*MAX(0,(MIN($G95,DATE(2026,9,30))-MAX($E95,DATE(2026,9,1))+1))/$O95</f>
        <v>0</v>
      </c>
      <c r="T95" s="16" t="n">
        <f aca="false">$N95*MAX(0,(MIN($G95,DATE(2026,10,31))-MAX($E95,DATE(2026,10,1))+1))/$O95</f>
        <v>0</v>
      </c>
      <c r="U95" s="16" t="n">
        <f aca="false">$N95*MAX(0,(MIN($G95,DATE(2026,11,30))-MAX($E95,DATE(2026,11,1))+1))/$O95</f>
        <v>0</v>
      </c>
      <c r="V95" s="16" t="n">
        <f aca="false">$N95*MAX(0,(MIN($G95,DATE(2026,12,31))-MAX($E95,DATE(2026,12,1))+1))/$O95</f>
        <v>0</v>
      </c>
      <c r="W95" s="17" t="n">
        <f aca="false">$H95*MAX(0,(MIN($G95,DATE(2026,7,31))-MAX($E95,DATE(2026,7,1))+1))/30.4</f>
        <v>0.888157894736842</v>
      </c>
      <c r="X95" s="17" t="n">
        <f aca="false">$H95*MAX(0,(MIN($G95,DATE(2026,8,31))-MAX($E95,DATE(2026,8,1))+1))/30.4</f>
        <v>0</v>
      </c>
      <c r="Y95" s="17" t="n">
        <f aca="false">$H95*MAX(0,(MIN($G95,DATE(2026,9,30))-MAX($E95,DATE(2026,9,1))+1))/30.4</f>
        <v>0</v>
      </c>
      <c r="Z95" s="17" t="n">
        <f aca="false">$H95*MAX(0,(MIN($G95,DATE(2026,10,31))-MAX($E95,DATE(2026,10,1))+1))/30.4</f>
        <v>0</v>
      </c>
      <c r="AA95" s="17" t="n">
        <f aca="false">$H95*MAX(0,(MIN($G95,DATE(2026,11,30))-MAX($E95,DATE(2026,11,1))+1))/30.4</f>
        <v>0</v>
      </c>
      <c r="AB95" s="17" t="n">
        <f aca="false">$H95*MAX(0,(MIN($G95,DATE(2026,12,31))-MAX($E95,DATE(2026,12,1))+1))/30.4</f>
        <v>0</v>
      </c>
    </row>
    <row r="96" customFormat="false" ht="15" hidden="false" customHeight="false" outlineLevel="0" collapsed="false">
      <c r="A96" s="10" t="n">
        <v>46</v>
      </c>
      <c r="B96" s="10" t="n">
        <v>3</v>
      </c>
      <c r="C96" s="10"/>
      <c r="D96" s="10" t="s">
        <v>76</v>
      </c>
      <c r="E96" s="12" t="n">
        <v>46195</v>
      </c>
      <c r="F96" s="10" t="n">
        <v>5</v>
      </c>
      <c r="G96" s="12" t="n">
        <v>46230</v>
      </c>
      <c r="H96" s="13" t="n">
        <v>1</v>
      </c>
      <c r="I96" s="10" t="s">
        <v>113</v>
      </c>
      <c r="J96" s="14" t="str">
        <f aca="false">IFERROR(VLOOKUP(D96,Role_Mapping!$A$5:$D$31,2,FALSE()),"UNMAPPED")</f>
        <v>Senior Software Engineer</v>
      </c>
      <c r="K96" s="14" t="str">
        <f aca="false">IFERROR(VLOOKUP(D96,Role_Mapping!$A$5:$D$31,3,FALSE()),"IN")</f>
        <v>IN</v>
      </c>
      <c r="L96" s="15" t="n">
        <f aca="false">IFERROR(SUMPRODUCT((Rate_Card!$A$5:$A$34=J96)*(Rate_Card!$B$5:$B$34=K96)*Rate_Card!$C$5:$C$34),0)</f>
        <v>585</v>
      </c>
      <c r="M96" s="10" t="n">
        <f aca="false">F96*5</f>
        <v>25</v>
      </c>
      <c r="N96" s="16" t="n">
        <f aca="false">L96*M96*H96</f>
        <v>14625</v>
      </c>
      <c r="O96" s="10" t="n">
        <f aca="false">(G96-E96)+1</f>
        <v>36</v>
      </c>
      <c r="P96" s="14" t="str">
        <f aca="false">IFERROR(VLOOKUP(D96,Role_Mapping!$A$5:$D$31,4,FALSE()),"UNMAPPED")</f>
        <v>Full Stack</v>
      </c>
      <c r="Q96" s="16" t="n">
        <f aca="false">$N96*MAX(0,(MIN($G96,DATE(2026,7,31))-MAX($E96,DATE(2026,7,1))+1))/$O96</f>
        <v>10968.75</v>
      </c>
      <c r="R96" s="16" t="n">
        <f aca="false">$N96*MAX(0,(MIN($G96,DATE(2026,8,31))-MAX($E96,DATE(2026,8,1))+1))/$O96</f>
        <v>0</v>
      </c>
      <c r="S96" s="16" t="n">
        <f aca="false">$N96*MAX(0,(MIN($G96,DATE(2026,9,30))-MAX($E96,DATE(2026,9,1))+1))/$O96</f>
        <v>0</v>
      </c>
      <c r="T96" s="16" t="n">
        <f aca="false">$N96*MAX(0,(MIN($G96,DATE(2026,10,31))-MAX($E96,DATE(2026,10,1))+1))/$O96</f>
        <v>0</v>
      </c>
      <c r="U96" s="16" t="n">
        <f aca="false">$N96*MAX(0,(MIN($G96,DATE(2026,11,30))-MAX($E96,DATE(2026,11,1))+1))/$O96</f>
        <v>0</v>
      </c>
      <c r="V96" s="16" t="n">
        <f aca="false">$N96*MAX(0,(MIN($G96,DATE(2026,12,31))-MAX($E96,DATE(2026,12,1))+1))/$O96</f>
        <v>0</v>
      </c>
      <c r="W96" s="17" t="n">
        <f aca="false">$H96*MAX(0,(MIN($G96,DATE(2026,7,31))-MAX($E96,DATE(2026,7,1))+1))/30.4</f>
        <v>0.888157894736842</v>
      </c>
      <c r="X96" s="17" t="n">
        <f aca="false">$H96*MAX(0,(MIN($G96,DATE(2026,8,31))-MAX($E96,DATE(2026,8,1))+1))/30.4</f>
        <v>0</v>
      </c>
      <c r="Y96" s="17" t="n">
        <f aca="false">$H96*MAX(0,(MIN($G96,DATE(2026,9,30))-MAX($E96,DATE(2026,9,1))+1))/30.4</f>
        <v>0</v>
      </c>
      <c r="Z96" s="17" t="n">
        <f aca="false">$H96*MAX(0,(MIN($G96,DATE(2026,10,31))-MAX($E96,DATE(2026,10,1))+1))/30.4</f>
        <v>0</v>
      </c>
      <c r="AA96" s="17" t="n">
        <f aca="false">$H96*MAX(0,(MIN($G96,DATE(2026,11,30))-MAX($E96,DATE(2026,11,1))+1))/30.4</f>
        <v>0</v>
      </c>
      <c r="AB96" s="17" t="n">
        <f aca="false">$H96*MAX(0,(MIN($G96,DATE(2026,12,31))-MAX($E96,DATE(2026,12,1))+1))/30.4</f>
        <v>0</v>
      </c>
    </row>
    <row r="97" customFormat="false" ht="15" hidden="false" customHeight="false" outlineLevel="0" collapsed="false">
      <c r="A97" s="10" t="n">
        <v>47</v>
      </c>
      <c r="B97" s="10" t="n">
        <v>3</v>
      </c>
      <c r="C97" s="10"/>
      <c r="D97" s="10" t="s">
        <v>75</v>
      </c>
      <c r="E97" s="12" t="n">
        <v>46195</v>
      </c>
      <c r="F97" s="10" t="n">
        <v>5</v>
      </c>
      <c r="G97" s="12" t="n">
        <v>46230</v>
      </c>
      <c r="H97" s="13" t="n">
        <v>1</v>
      </c>
      <c r="I97" s="10" t="s">
        <v>113</v>
      </c>
      <c r="J97" s="14" t="str">
        <f aca="false">IFERROR(VLOOKUP(D97,Role_Mapping!$A$5:$D$31,2,FALSE()),"UNMAPPED")</f>
        <v>Software Engineer</v>
      </c>
      <c r="K97" s="14" t="str">
        <f aca="false">IFERROR(VLOOKUP(D97,Role_Mapping!$A$5:$D$31,3,FALSE()),"IN")</f>
        <v>IN</v>
      </c>
      <c r="L97" s="15" t="n">
        <f aca="false">IFERROR(SUMPRODUCT((Rate_Card!$A$5:$A$34=J97)*(Rate_Card!$B$5:$B$34=K97)*Rate_Card!$C$5:$C$34),0)</f>
        <v>455</v>
      </c>
      <c r="M97" s="10" t="n">
        <f aca="false">F97*5</f>
        <v>25</v>
      </c>
      <c r="N97" s="16" t="n">
        <f aca="false">L97*M97*H97</f>
        <v>11375</v>
      </c>
      <c r="O97" s="10" t="n">
        <f aca="false">(G97-E97)+1</f>
        <v>36</v>
      </c>
      <c r="P97" s="14" t="str">
        <f aca="false">IFERROR(VLOOKUP(D97,Role_Mapping!$A$5:$D$31,4,FALSE()),"UNMAPPED")</f>
        <v>Full Stack</v>
      </c>
      <c r="Q97" s="16" t="n">
        <f aca="false">$N97*MAX(0,(MIN($G97,DATE(2026,7,31))-MAX($E97,DATE(2026,7,1))+1))/$O97</f>
        <v>8531.25</v>
      </c>
      <c r="R97" s="16" t="n">
        <f aca="false">$N97*MAX(0,(MIN($G97,DATE(2026,8,31))-MAX($E97,DATE(2026,8,1))+1))/$O97</f>
        <v>0</v>
      </c>
      <c r="S97" s="16" t="n">
        <f aca="false">$N97*MAX(0,(MIN($G97,DATE(2026,9,30))-MAX($E97,DATE(2026,9,1))+1))/$O97</f>
        <v>0</v>
      </c>
      <c r="T97" s="16" t="n">
        <f aca="false">$N97*MAX(0,(MIN($G97,DATE(2026,10,31))-MAX($E97,DATE(2026,10,1))+1))/$O97</f>
        <v>0</v>
      </c>
      <c r="U97" s="16" t="n">
        <f aca="false">$N97*MAX(0,(MIN($G97,DATE(2026,11,30))-MAX($E97,DATE(2026,11,1))+1))/$O97</f>
        <v>0</v>
      </c>
      <c r="V97" s="16" t="n">
        <f aca="false">$N97*MAX(0,(MIN($G97,DATE(2026,12,31))-MAX($E97,DATE(2026,12,1))+1))/$O97</f>
        <v>0</v>
      </c>
      <c r="W97" s="17" t="n">
        <f aca="false">$H97*MAX(0,(MIN($G97,DATE(2026,7,31))-MAX($E97,DATE(2026,7,1))+1))/30.4</f>
        <v>0.888157894736842</v>
      </c>
      <c r="X97" s="17" t="n">
        <f aca="false">$H97*MAX(0,(MIN($G97,DATE(2026,8,31))-MAX($E97,DATE(2026,8,1))+1))/30.4</f>
        <v>0</v>
      </c>
      <c r="Y97" s="17" t="n">
        <f aca="false">$H97*MAX(0,(MIN($G97,DATE(2026,9,30))-MAX($E97,DATE(2026,9,1))+1))/30.4</f>
        <v>0</v>
      </c>
      <c r="Z97" s="17" t="n">
        <f aca="false">$H97*MAX(0,(MIN($G97,DATE(2026,10,31))-MAX($E97,DATE(2026,10,1))+1))/30.4</f>
        <v>0</v>
      </c>
      <c r="AA97" s="17" t="n">
        <f aca="false">$H97*MAX(0,(MIN($G97,DATE(2026,11,30))-MAX($E97,DATE(2026,11,1))+1))/30.4</f>
        <v>0</v>
      </c>
      <c r="AB97" s="17" t="n">
        <f aca="false">$H97*MAX(0,(MIN($G97,DATE(2026,12,31))-MAX($E97,DATE(2026,12,1))+1))/30.4</f>
        <v>0</v>
      </c>
    </row>
    <row r="98" customFormat="false" ht="15" hidden="false" customHeight="false" outlineLevel="0" collapsed="false">
      <c r="A98" s="10" t="n">
        <v>48</v>
      </c>
      <c r="B98" s="10" t="n">
        <v>3</v>
      </c>
      <c r="C98" s="10"/>
      <c r="D98" s="10" t="s">
        <v>75</v>
      </c>
      <c r="E98" s="12" t="n">
        <v>46195</v>
      </c>
      <c r="F98" s="10" t="n">
        <v>5</v>
      </c>
      <c r="G98" s="12" t="n">
        <v>46230</v>
      </c>
      <c r="H98" s="13" t="n">
        <v>1</v>
      </c>
      <c r="I98" s="10" t="s">
        <v>113</v>
      </c>
      <c r="J98" s="14" t="str">
        <f aca="false">IFERROR(VLOOKUP(D98,Role_Mapping!$A$5:$D$31,2,FALSE()),"UNMAPPED")</f>
        <v>Software Engineer</v>
      </c>
      <c r="K98" s="14" t="str">
        <f aca="false">IFERROR(VLOOKUP(D98,Role_Mapping!$A$5:$D$31,3,FALSE()),"IN")</f>
        <v>IN</v>
      </c>
      <c r="L98" s="15" t="n">
        <f aca="false">IFERROR(SUMPRODUCT((Rate_Card!$A$5:$A$34=J98)*(Rate_Card!$B$5:$B$34=K98)*Rate_Card!$C$5:$C$34),0)</f>
        <v>455</v>
      </c>
      <c r="M98" s="10" t="n">
        <f aca="false">F98*5</f>
        <v>25</v>
      </c>
      <c r="N98" s="16" t="n">
        <f aca="false">L98*M98*H98</f>
        <v>11375</v>
      </c>
      <c r="O98" s="10" t="n">
        <f aca="false">(G98-E98)+1</f>
        <v>36</v>
      </c>
      <c r="P98" s="14" t="str">
        <f aca="false">IFERROR(VLOOKUP(D98,Role_Mapping!$A$5:$D$31,4,FALSE()),"UNMAPPED")</f>
        <v>Full Stack</v>
      </c>
      <c r="Q98" s="16" t="n">
        <f aca="false">$N98*MAX(0,(MIN($G98,DATE(2026,7,31))-MAX($E98,DATE(2026,7,1))+1))/$O98</f>
        <v>8531.25</v>
      </c>
      <c r="R98" s="16" t="n">
        <f aca="false">$N98*MAX(0,(MIN($G98,DATE(2026,8,31))-MAX($E98,DATE(2026,8,1))+1))/$O98</f>
        <v>0</v>
      </c>
      <c r="S98" s="16" t="n">
        <f aca="false">$N98*MAX(0,(MIN($G98,DATE(2026,9,30))-MAX($E98,DATE(2026,9,1))+1))/$O98</f>
        <v>0</v>
      </c>
      <c r="T98" s="16" t="n">
        <f aca="false">$N98*MAX(0,(MIN($G98,DATE(2026,10,31))-MAX($E98,DATE(2026,10,1))+1))/$O98</f>
        <v>0</v>
      </c>
      <c r="U98" s="16" t="n">
        <f aca="false">$N98*MAX(0,(MIN($G98,DATE(2026,11,30))-MAX($E98,DATE(2026,11,1))+1))/$O98</f>
        <v>0</v>
      </c>
      <c r="V98" s="16" t="n">
        <f aca="false">$N98*MAX(0,(MIN($G98,DATE(2026,12,31))-MAX($E98,DATE(2026,12,1))+1))/$O98</f>
        <v>0</v>
      </c>
      <c r="W98" s="17" t="n">
        <f aca="false">$H98*MAX(0,(MIN($G98,DATE(2026,7,31))-MAX($E98,DATE(2026,7,1))+1))/30.4</f>
        <v>0.888157894736842</v>
      </c>
      <c r="X98" s="17" t="n">
        <f aca="false">$H98*MAX(0,(MIN($G98,DATE(2026,8,31))-MAX($E98,DATE(2026,8,1))+1))/30.4</f>
        <v>0</v>
      </c>
      <c r="Y98" s="17" t="n">
        <f aca="false">$H98*MAX(0,(MIN($G98,DATE(2026,9,30))-MAX($E98,DATE(2026,9,1))+1))/30.4</f>
        <v>0</v>
      </c>
      <c r="Z98" s="17" t="n">
        <f aca="false">$H98*MAX(0,(MIN($G98,DATE(2026,10,31))-MAX($E98,DATE(2026,10,1))+1))/30.4</f>
        <v>0</v>
      </c>
      <c r="AA98" s="17" t="n">
        <f aca="false">$H98*MAX(0,(MIN($G98,DATE(2026,11,30))-MAX($E98,DATE(2026,11,1))+1))/30.4</f>
        <v>0</v>
      </c>
      <c r="AB98" s="17" t="n">
        <f aca="false">$H98*MAX(0,(MIN($G98,DATE(2026,12,31))-MAX($E98,DATE(2026,12,1))+1))/30.4</f>
        <v>0</v>
      </c>
    </row>
    <row r="99" customFormat="false" ht="15" hidden="false" customHeight="false" outlineLevel="0" collapsed="false">
      <c r="A99" s="10" t="n">
        <v>49</v>
      </c>
      <c r="B99" s="10" t="n">
        <v>3</v>
      </c>
      <c r="C99" s="10" t="s">
        <v>133</v>
      </c>
      <c r="D99" s="10" t="s">
        <v>72</v>
      </c>
      <c r="E99" s="12" t="n">
        <v>46209</v>
      </c>
      <c r="F99" s="10" t="n">
        <v>9</v>
      </c>
      <c r="G99" s="12" t="n">
        <v>46272</v>
      </c>
      <c r="H99" s="13" t="n">
        <v>0.125</v>
      </c>
      <c r="I99" s="10" t="s">
        <v>126</v>
      </c>
      <c r="J99" s="14" t="str">
        <f aca="false">IFERROR(VLOOKUP(D99,Role_Mapping!$A$5:$D$31,2,FALSE()),"UNMAPPED")</f>
        <v>Senior Consultant</v>
      </c>
      <c r="K99" s="14" t="str">
        <f aca="false">IFERROR(VLOOKUP(D99,Role_Mapping!$A$5:$D$31,3,FALSE()),"IN")</f>
        <v>UK</v>
      </c>
      <c r="L99" s="15" t="n">
        <f aca="false">IFERROR(SUMPRODUCT((Rate_Card!$A$5:$A$34=J99)*(Rate_Card!$B$5:$B$34=K99)*Rate_Card!$C$5:$C$34),0)</f>
        <v>2798</v>
      </c>
      <c r="M99" s="10" t="n">
        <f aca="false">F99*5</f>
        <v>45</v>
      </c>
      <c r="N99" s="16" t="n">
        <f aca="false">L99*M99*H99</f>
        <v>15738.75</v>
      </c>
      <c r="O99" s="10" t="n">
        <f aca="false">(G99-E99)+1</f>
        <v>64</v>
      </c>
      <c r="P99" s="14" t="str">
        <f aca="false">IFERROR(VLOOKUP(D99,Role_Mapping!$A$5:$D$31,4,FALSE()),"UNMAPPED")</f>
        <v>Consulting</v>
      </c>
      <c r="Q99" s="16" t="n">
        <f aca="false">$N99*MAX(0,(MIN($G99,DATE(2026,7,31))-MAX($E99,DATE(2026,7,1))+1))/$O99</f>
        <v>6393.8671875</v>
      </c>
      <c r="R99" s="16" t="n">
        <f aca="false">$N99*MAX(0,(MIN($G99,DATE(2026,8,31))-MAX($E99,DATE(2026,8,1))+1))/$O99</f>
        <v>7623.45703125</v>
      </c>
      <c r="S99" s="16" t="n">
        <f aca="false">$N99*MAX(0,(MIN($G99,DATE(2026,9,30))-MAX($E99,DATE(2026,9,1))+1))/$O99</f>
        <v>1721.42578125</v>
      </c>
      <c r="T99" s="16" t="n">
        <f aca="false">$N99*MAX(0,(MIN($G99,DATE(2026,10,31))-MAX($E99,DATE(2026,10,1))+1))/$O99</f>
        <v>0</v>
      </c>
      <c r="U99" s="16" t="n">
        <f aca="false">$N99*MAX(0,(MIN($G99,DATE(2026,11,30))-MAX($E99,DATE(2026,11,1))+1))/$O99</f>
        <v>0</v>
      </c>
      <c r="V99" s="16" t="n">
        <f aca="false">$N99*MAX(0,(MIN($G99,DATE(2026,12,31))-MAX($E99,DATE(2026,12,1))+1))/$O99</f>
        <v>0</v>
      </c>
      <c r="W99" s="17" t="n">
        <f aca="false">$H99*MAX(0,(MIN($G99,DATE(2026,7,31))-MAX($E99,DATE(2026,7,1))+1))/30.4</f>
        <v>0.106907894736842</v>
      </c>
      <c r="X99" s="17" t="n">
        <f aca="false">$H99*MAX(0,(MIN($G99,DATE(2026,8,31))-MAX($E99,DATE(2026,8,1))+1))/30.4</f>
        <v>0.127467105263158</v>
      </c>
      <c r="Y99" s="17" t="n">
        <f aca="false">$H99*MAX(0,(MIN($G99,DATE(2026,9,30))-MAX($E99,DATE(2026,9,1))+1))/30.4</f>
        <v>0.0287828947368421</v>
      </c>
      <c r="Z99" s="17" t="n">
        <f aca="false">$H99*MAX(0,(MIN($G99,DATE(2026,10,31))-MAX($E99,DATE(2026,10,1))+1))/30.4</f>
        <v>0</v>
      </c>
      <c r="AA99" s="17" t="n">
        <f aca="false">$H99*MAX(0,(MIN($G99,DATE(2026,11,30))-MAX($E99,DATE(2026,11,1))+1))/30.4</f>
        <v>0</v>
      </c>
      <c r="AB99" s="17" t="n">
        <f aca="false">$H99*MAX(0,(MIN($G99,DATE(2026,12,31))-MAX($E99,DATE(2026,12,1))+1))/30.4</f>
        <v>0</v>
      </c>
    </row>
    <row r="100" customFormat="false" ht="15" hidden="false" customHeight="false" outlineLevel="0" collapsed="false">
      <c r="A100" s="10" t="n">
        <v>50</v>
      </c>
      <c r="B100" s="10" t="n">
        <v>3</v>
      </c>
      <c r="C100" s="10"/>
      <c r="D100" s="10" t="s">
        <v>53</v>
      </c>
      <c r="E100" s="12" t="n">
        <v>46209</v>
      </c>
      <c r="F100" s="10" t="n">
        <v>5</v>
      </c>
      <c r="G100" s="12" t="n">
        <v>46244</v>
      </c>
      <c r="H100" s="13" t="n">
        <v>1</v>
      </c>
      <c r="I100" s="10" t="s">
        <v>113</v>
      </c>
      <c r="J100" s="14" t="str">
        <f aca="false">IFERROR(VLOOKUP(D100,Role_Mapping!$A$5:$D$31,2,FALSE()),"UNMAPPED")</f>
        <v>Consultant</v>
      </c>
      <c r="K100" s="14" t="str">
        <f aca="false">IFERROR(VLOOKUP(D100,Role_Mapping!$A$5:$D$31,3,FALSE()),"IN")</f>
        <v>IN</v>
      </c>
      <c r="L100" s="15" t="n">
        <f aca="false">IFERROR(SUMPRODUCT((Rate_Card!$A$5:$A$34=J100)*(Rate_Card!$B$5:$B$34=K100)*Rate_Card!$C$5:$C$34),0)</f>
        <v>683</v>
      </c>
      <c r="M100" s="10" t="n">
        <f aca="false">F100*5</f>
        <v>25</v>
      </c>
      <c r="N100" s="16" t="n">
        <f aca="false">L100*M100*H100</f>
        <v>17075</v>
      </c>
      <c r="O100" s="10" t="n">
        <f aca="false">(G100-E100)+1</f>
        <v>36</v>
      </c>
      <c r="P100" s="14" t="str">
        <f aca="false">IFERROR(VLOOKUP(D100,Role_Mapping!$A$5:$D$31,4,FALSE()),"UNMAPPED")</f>
        <v>Consulting</v>
      </c>
      <c r="Q100" s="16" t="n">
        <f aca="false">$N100*MAX(0,(MIN($G100,DATE(2026,7,31))-MAX($E100,DATE(2026,7,1))+1))/$O100</f>
        <v>12331.9444444444</v>
      </c>
      <c r="R100" s="16" t="n">
        <f aca="false">$N100*MAX(0,(MIN($G100,DATE(2026,8,31))-MAX($E100,DATE(2026,8,1))+1))/$O100</f>
        <v>4743.05555555556</v>
      </c>
      <c r="S100" s="16" t="n">
        <f aca="false">$N100*MAX(0,(MIN($G100,DATE(2026,9,30))-MAX($E100,DATE(2026,9,1))+1))/$O100</f>
        <v>0</v>
      </c>
      <c r="T100" s="16" t="n">
        <f aca="false">$N100*MAX(0,(MIN($G100,DATE(2026,10,31))-MAX($E100,DATE(2026,10,1))+1))/$O100</f>
        <v>0</v>
      </c>
      <c r="U100" s="16" t="n">
        <f aca="false">$N100*MAX(0,(MIN($G100,DATE(2026,11,30))-MAX($E100,DATE(2026,11,1))+1))/$O100</f>
        <v>0</v>
      </c>
      <c r="V100" s="16" t="n">
        <f aca="false">$N100*MAX(0,(MIN($G100,DATE(2026,12,31))-MAX($E100,DATE(2026,12,1))+1))/$O100</f>
        <v>0</v>
      </c>
      <c r="W100" s="17" t="n">
        <f aca="false">$H100*MAX(0,(MIN($G100,DATE(2026,7,31))-MAX($E100,DATE(2026,7,1))+1))/30.4</f>
        <v>0.855263157894737</v>
      </c>
      <c r="X100" s="17" t="n">
        <f aca="false">$H100*MAX(0,(MIN($G100,DATE(2026,8,31))-MAX($E100,DATE(2026,8,1))+1))/30.4</f>
        <v>0.328947368421053</v>
      </c>
      <c r="Y100" s="17" t="n">
        <f aca="false">$H100*MAX(0,(MIN($G100,DATE(2026,9,30))-MAX($E100,DATE(2026,9,1))+1))/30.4</f>
        <v>0</v>
      </c>
      <c r="Z100" s="17" t="n">
        <f aca="false">$H100*MAX(0,(MIN($G100,DATE(2026,10,31))-MAX($E100,DATE(2026,10,1))+1))/30.4</f>
        <v>0</v>
      </c>
      <c r="AA100" s="17" t="n">
        <f aca="false">$H100*MAX(0,(MIN($G100,DATE(2026,11,30))-MAX($E100,DATE(2026,11,1))+1))/30.4</f>
        <v>0</v>
      </c>
      <c r="AB100" s="17" t="n">
        <f aca="false">$H100*MAX(0,(MIN($G100,DATE(2026,12,31))-MAX($E100,DATE(2026,12,1))+1))/30.4</f>
        <v>0</v>
      </c>
    </row>
    <row r="101" customFormat="false" ht="15" hidden="false" customHeight="false" outlineLevel="0" collapsed="false">
      <c r="A101" s="10" t="n">
        <v>51</v>
      </c>
      <c r="B101" s="10" t="n">
        <v>3</v>
      </c>
      <c r="C101" s="10"/>
      <c r="D101" s="10" t="s">
        <v>75</v>
      </c>
      <c r="E101" s="12" t="n">
        <v>46209</v>
      </c>
      <c r="F101" s="10" t="n">
        <v>5</v>
      </c>
      <c r="G101" s="12" t="n">
        <v>46244</v>
      </c>
      <c r="H101" s="13" t="n">
        <v>1</v>
      </c>
      <c r="I101" s="10" t="s">
        <v>113</v>
      </c>
      <c r="J101" s="14" t="str">
        <f aca="false">IFERROR(VLOOKUP(D101,Role_Mapping!$A$5:$D$31,2,FALSE()),"UNMAPPED")</f>
        <v>Software Engineer</v>
      </c>
      <c r="K101" s="14" t="str">
        <f aca="false">IFERROR(VLOOKUP(D101,Role_Mapping!$A$5:$D$31,3,FALSE()),"IN")</f>
        <v>IN</v>
      </c>
      <c r="L101" s="15" t="n">
        <f aca="false">IFERROR(SUMPRODUCT((Rate_Card!$A$5:$A$34=J101)*(Rate_Card!$B$5:$B$34=K101)*Rate_Card!$C$5:$C$34),0)</f>
        <v>455</v>
      </c>
      <c r="M101" s="10" t="n">
        <f aca="false">F101*5</f>
        <v>25</v>
      </c>
      <c r="N101" s="16" t="n">
        <f aca="false">L101*M101*H101</f>
        <v>11375</v>
      </c>
      <c r="O101" s="10" t="n">
        <f aca="false">(G101-E101)+1</f>
        <v>36</v>
      </c>
      <c r="P101" s="14" t="str">
        <f aca="false">IFERROR(VLOOKUP(D101,Role_Mapping!$A$5:$D$31,4,FALSE()),"UNMAPPED")</f>
        <v>Full Stack</v>
      </c>
      <c r="Q101" s="16" t="n">
        <f aca="false">$N101*MAX(0,(MIN($G101,DATE(2026,7,31))-MAX($E101,DATE(2026,7,1))+1))/$O101</f>
        <v>8215.27777777778</v>
      </c>
      <c r="R101" s="16" t="n">
        <f aca="false">$N101*MAX(0,(MIN($G101,DATE(2026,8,31))-MAX($E101,DATE(2026,8,1))+1))/$O101</f>
        <v>3159.72222222222</v>
      </c>
      <c r="S101" s="16" t="n">
        <f aca="false">$N101*MAX(0,(MIN($G101,DATE(2026,9,30))-MAX($E101,DATE(2026,9,1))+1))/$O101</f>
        <v>0</v>
      </c>
      <c r="T101" s="16" t="n">
        <f aca="false">$N101*MAX(0,(MIN($G101,DATE(2026,10,31))-MAX($E101,DATE(2026,10,1))+1))/$O101</f>
        <v>0</v>
      </c>
      <c r="U101" s="16" t="n">
        <f aca="false">$N101*MAX(0,(MIN($G101,DATE(2026,11,30))-MAX($E101,DATE(2026,11,1))+1))/$O101</f>
        <v>0</v>
      </c>
      <c r="V101" s="16" t="n">
        <f aca="false">$N101*MAX(0,(MIN($G101,DATE(2026,12,31))-MAX($E101,DATE(2026,12,1))+1))/$O101</f>
        <v>0</v>
      </c>
      <c r="W101" s="17" t="n">
        <f aca="false">$H101*MAX(0,(MIN($G101,DATE(2026,7,31))-MAX($E101,DATE(2026,7,1))+1))/30.4</f>
        <v>0.855263157894737</v>
      </c>
      <c r="X101" s="17" t="n">
        <f aca="false">$H101*MAX(0,(MIN($G101,DATE(2026,8,31))-MAX($E101,DATE(2026,8,1))+1))/30.4</f>
        <v>0.328947368421053</v>
      </c>
      <c r="Y101" s="17" t="n">
        <f aca="false">$H101*MAX(0,(MIN($G101,DATE(2026,9,30))-MAX($E101,DATE(2026,9,1))+1))/30.4</f>
        <v>0</v>
      </c>
      <c r="Z101" s="17" t="n">
        <f aca="false">$H101*MAX(0,(MIN($G101,DATE(2026,10,31))-MAX($E101,DATE(2026,10,1))+1))/30.4</f>
        <v>0</v>
      </c>
      <c r="AA101" s="17" t="n">
        <f aca="false">$H101*MAX(0,(MIN($G101,DATE(2026,11,30))-MAX($E101,DATE(2026,11,1))+1))/30.4</f>
        <v>0</v>
      </c>
      <c r="AB101" s="17" t="n">
        <f aca="false">$H101*MAX(0,(MIN($G101,DATE(2026,12,31))-MAX($E101,DATE(2026,12,1))+1))/30.4</f>
        <v>0</v>
      </c>
    </row>
    <row r="102" customFormat="false" ht="15" hidden="false" customHeight="false" outlineLevel="0" collapsed="false">
      <c r="A102" s="10" t="n">
        <v>52</v>
      </c>
      <c r="B102" s="10" t="n">
        <v>3</v>
      </c>
      <c r="C102" s="10"/>
      <c r="D102" s="10" t="s">
        <v>76</v>
      </c>
      <c r="E102" s="12" t="n">
        <v>46209</v>
      </c>
      <c r="F102" s="10" t="n">
        <v>5</v>
      </c>
      <c r="G102" s="12" t="n">
        <v>46244</v>
      </c>
      <c r="H102" s="13" t="n">
        <v>1</v>
      </c>
      <c r="I102" s="10" t="s">
        <v>113</v>
      </c>
      <c r="J102" s="14" t="str">
        <f aca="false">IFERROR(VLOOKUP(D102,Role_Mapping!$A$5:$D$31,2,FALSE()),"UNMAPPED")</f>
        <v>Senior Software Engineer</v>
      </c>
      <c r="K102" s="14" t="str">
        <f aca="false">IFERROR(VLOOKUP(D102,Role_Mapping!$A$5:$D$31,3,FALSE()),"IN")</f>
        <v>IN</v>
      </c>
      <c r="L102" s="15" t="n">
        <f aca="false">IFERROR(SUMPRODUCT((Rate_Card!$A$5:$A$34=J102)*(Rate_Card!$B$5:$B$34=K102)*Rate_Card!$C$5:$C$34),0)</f>
        <v>585</v>
      </c>
      <c r="M102" s="10" t="n">
        <f aca="false">F102*5</f>
        <v>25</v>
      </c>
      <c r="N102" s="16" t="n">
        <f aca="false">L102*M102*H102</f>
        <v>14625</v>
      </c>
      <c r="O102" s="10" t="n">
        <f aca="false">(G102-E102)+1</f>
        <v>36</v>
      </c>
      <c r="P102" s="14" t="str">
        <f aca="false">IFERROR(VLOOKUP(D102,Role_Mapping!$A$5:$D$31,4,FALSE()),"UNMAPPED")</f>
        <v>Full Stack</v>
      </c>
      <c r="Q102" s="16" t="n">
        <f aca="false">$N102*MAX(0,(MIN($G102,DATE(2026,7,31))-MAX($E102,DATE(2026,7,1))+1))/$O102</f>
        <v>10562.5</v>
      </c>
      <c r="R102" s="16" t="n">
        <f aca="false">$N102*MAX(0,(MIN($G102,DATE(2026,8,31))-MAX($E102,DATE(2026,8,1))+1))/$O102</f>
        <v>4062.5</v>
      </c>
      <c r="S102" s="16" t="n">
        <f aca="false">$N102*MAX(0,(MIN($G102,DATE(2026,9,30))-MAX($E102,DATE(2026,9,1))+1))/$O102</f>
        <v>0</v>
      </c>
      <c r="T102" s="16" t="n">
        <f aca="false">$N102*MAX(0,(MIN($G102,DATE(2026,10,31))-MAX($E102,DATE(2026,10,1))+1))/$O102</f>
        <v>0</v>
      </c>
      <c r="U102" s="16" t="n">
        <f aca="false">$N102*MAX(0,(MIN($G102,DATE(2026,11,30))-MAX($E102,DATE(2026,11,1))+1))/$O102</f>
        <v>0</v>
      </c>
      <c r="V102" s="16" t="n">
        <f aca="false">$N102*MAX(0,(MIN($G102,DATE(2026,12,31))-MAX($E102,DATE(2026,12,1))+1))/$O102</f>
        <v>0</v>
      </c>
      <c r="W102" s="17" t="n">
        <f aca="false">$H102*MAX(0,(MIN($G102,DATE(2026,7,31))-MAX($E102,DATE(2026,7,1))+1))/30.4</f>
        <v>0.855263157894737</v>
      </c>
      <c r="X102" s="17" t="n">
        <f aca="false">$H102*MAX(0,(MIN($G102,DATE(2026,8,31))-MAX($E102,DATE(2026,8,1))+1))/30.4</f>
        <v>0.328947368421053</v>
      </c>
      <c r="Y102" s="17" t="n">
        <f aca="false">$H102*MAX(0,(MIN($G102,DATE(2026,9,30))-MAX($E102,DATE(2026,9,1))+1))/30.4</f>
        <v>0</v>
      </c>
      <c r="Z102" s="17" t="n">
        <f aca="false">$H102*MAX(0,(MIN($G102,DATE(2026,10,31))-MAX($E102,DATE(2026,10,1))+1))/30.4</f>
        <v>0</v>
      </c>
      <c r="AA102" s="17" t="n">
        <f aca="false">$H102*MAX(0,(MIN($G102,DATE(2026,11,30))-MAX($E102,DATE(2026,11,1))+1))/30.4</f>
        <v>0</v>
      </c>
      <c r="AB102" s="17" t="n">
        <f aca="false">$H102*MAX(0,(MIN($G102,DATE(2026,12,31))-MAX($E102,DATE(2026,12,1))+1))/30.4</f>
        <v>0</v>
      </c>
    </row>
    <row r="103" customFormat="false" ht="15" hidden="false" customHeight="false" outlineLevel="0" collapsed="false">
      <c r="A103" s="10" t="n">
        <v>53</v>
      </c>
      <c r="B103" s="10" t="n">
        <v>3</v>
      </c>
      <c r="C103" s="10"/>
      <c r="D103" s="10" t="s">
        <v>76</v>
      </c>
      <c r="E103" s="12" t="n">
        <v>46209</v>
      </c>
      <c r="F103" s="10" t="n">
        <v>5</v>
      </c>
      <c r="G103" s="12" t="n">
        <v>46244</v>
      </c>
      <c r="H103" s="13" t="n">
        <v>1</v>
      </c>
      <c r="I103" s="10" t="s">
        <v>113</v>
      </c>
      <c r="J103" s="14" t="str">
        <f aca="false">IFERROR(VLOOKUP(D103,Role_Mapping!$A$5:$D$31,2,FALSE()),"UNMAPPED")</f>
        <v>Senior Software Engineer</v>
      </c>
      <c r="K103" s="14" t="str">
        <f aca="false">IFERROR(VLOOKUP(D103,Role_Mapping!$A$5:$D$31,3,FALSE()),"IN")</f>
        <v>IN</v>
      </c>
      <c r="L103" s="15" t="n">
        <f aca="false">IFERROR(SUMPRODUCT((Rate_Card!$A$5:$A$34=J103)*(Rate_Card!$B$5:$B$34=K103)*Rate_Card!$C$5:$C$34),0)</f>
        <v>585</v>
      </c>
      <c r="M103" s="10" t="n">
        <f aca="false">F103*5</f>
        <v>25</v>
      </c>
      <c r="N103" s="16" t="n">
        <f aca="false">L103*M103*H103</f>
        <v>14625</v>
      </c>
      <c r="O103" s="10" t="n">
        <f aca="false">(G103-E103)+1</f>
        <v>36</v>
      </c>
      <c r="P103" s="14" t="str">
        <f aca="false">IFERROR(VLOOKUP(D103,Role_Mapping!$A$5:$D$31,4,FALSE()),"UNMAPPED")</f>
        <v>Full Stack</v>
      </c>
      <c r="Q103" s="16" t="n">
        <f aca="false">$N103*MAX(0,(MIN($G103,DATE(2026,7,31))-MAX($E103,DATE(2026,7,1))+1))/$O103</f>
        <v>10562.5</v>
      </c>
      <c r="R103" s="16" t="n">
        <f aca="false">$N103*MAX(0,(MIN($G103,DATE(2026,8,31))-MAX($E103,DATE(2026,8,1))+1))/$O103</f>
        <v>4062.5</v>
      </c>
      <c r="S103" s="16" t="n">
        <f aca="false">$N103*MAX(0,(MIN($G103,DATE(2026,9,30))-MAX($E103,DATE(2026,9,1))+1))/$O103</f>
        <v>0</v>
      </c>
      <c r="T103" s="16" t="n">
        <f aca="false">$N103*MAX(0,(MIN($G103,DATE(2026,10,31))-MAX($E103,DATE(2026,10,1))+1))/$O103</f>
        <v>0</v>
      </c>
      <c r="U103" s="16" t="n">
        <f aca="false">$N103*MAX(0,(MIN($G103,DATE(2026,11,30))-MAX($E103,DATE(2026,11,1))+1))/$O103</f>
        <v>0</v>
      </c>
      <c r="V103" s="16" t="n">
        <f aca="false">$N103*MAX(0,(MIN($G103,DATE(2026,12,31))-MAX($E103,DATE(2026,12,1))+1))/$O103</f>
        <v>0</v>
      </c>
      <c r="W103" s="17" t="n">
        <f aca="false">$H103*MAX(0,(MIN($G103,DATE(2026,7,31))-MAX($E103,DATE(2026,7,1))+1))/30.4</f>
        <v>0.855263157894737</v>
      </c>
      <c r="X103" s="17" t="n">
        <f aca="false">$H103*MAX(0,(MIN($G103,DATE(2026,8,31))-MAX($E103,DATE(2026,8,1))+1))/30.4</f>
        <v>0.328947368421053</v>
      </c>
      <c r="Y103" s="17" t="n">
        <f aca="false">$H103*MAX(0,(MIN($G103,DATE(2026,9,30))-MAX($E103,DATE(2026,9,1))+1))/30.4</f>
        <v>0</v>
      </c>
      <c r="Z103" s="17" t="n">
        <f aca="false">$H103*MAX(0,(MIN($G103,DATE(2026,10,31))-MAX($E103,DATE(2026,10,1))+1))/30.4</f>
        <v>0</v>
      </c>
      <c r="AA103" s="17" t="n">
        <f aca="false">$H103*MAX(0,(MIN($G103,DATE(2026,11,30))-MAX($E103,DATE(2026,11,1))+1))/30.4</f>
        <v>0</v>
      </c>
      <c r="AB103" s="17" t="n">
        <f aca="false">$H103*MAX(0,(MIN($G103,DATE(2026,12,31))-MAX($E103,DATE(2026,12,1))+1))/30.4</f>
        <v>0</v>
      </c>
    </row>
    <row r="104" customFormat="false" ht="15" hidden="false" customHeight="false" outlineLevel="0" collapsed="false">
      <c r="A104" s="10" t="n">
        <v>54</v>
      </c>
      <c r="B104" s="10" t="n">
        <v>3</v>
      </c>
      <c r="C104" s="10"/>
      <c r="D104" s="10" t="s">
        <v>75</v>
      </c>
      <c r="E104" s="12" t="n">
        <v>46209</v>
      </c>
      <c r="F104" s="10" t="n">
        <v>5</v>
      </c>
      <c r="G104" s="12" t="n">
        <v>46244</v>
      </c>
      <c r="H104" s="13" t="n">
        <v>1</v>
      </c>
      <c r="I104" s="10" t="s">
        <v>113</v>
      </c>
      <c r="J104" s="14" t="str">
        <f aca="false">IFERROR(VLOOKUP(D104,Role_Mapping!$A$5:$D$31,2,FALSE()),"UNMAPPED")</f>
        <v>Software Engineer</v>
      </c>
      <c r="K104" s="14" t="str">
        <f aca="false">IFERROR(VLOOKUP(D104,Role_Mapping!$A$5:$D$31,3,FALSE()),"IN")</f>
        <v>IN</v>
      </c>
      <c r="L104" s="15" t="n">
        <f aca="false">IFERROR(SUMPRODUCT((Rate_Card!$A$5:$A$34=J104)*(Rate_Card!$B$5:$B$34=K104)*Rate_Card!$C$5:$C$34),0)</f>
        <v>455</v>
      </c>
      <c r="M104" s="10" t="n">
        <f aca="false">F104*5</f>
        <v>25</v>
      </c>
      <c r="N104" s="16" t="n">
        <f aca="false">L104*M104*H104</f>
        <v>11375</v>
      </c>
      <c r="O104" s="10" t="n">
        <f aca="false">(G104-E104)+1</f>
        <v>36</v>
      </c>
      <c r="P104" s="14" t="str">
        <f aca="false">IFERROR(VLOOKUP(D104,Role_Mapping!$A$5:$D$31,4,FALSE()),"UNMAPPED")</f>
        <v>Full Stack</v>
      </c>
      <c r="Q104" s="16" t="n">
        <f aca="false">$N104*MAX(0,(MIN($G104,DATE(2026,7,31))-MAX($E104,DATE(2026,7,1))+1))/$O104</f>
        <v>8215.27777777778</v>
      </c>
      <c r="R104" s="16" t="n">
        <f aca="false">$N104*MAX(0,(MIN($G104,DATE(2026,8,31))-MAX($E104,DATE(2026,8,1))+1))/$O104</f>
        <v>3159.72222222222</v>
      </c>
      <c r="S104" s="16" t="n">
        <f aca="false">$N104*MAX(0,(MIN($G104,DATE(2026,9,30))-MAX($E104,DATE(2026,9,1))+1))/$O104</f>
        <v>0</v>
      </c>
      <c r="T104" s="16" t="n">
        <f aca="false">$N104*MAX(0,(MIN($G104,DATE(2026,10,31))-MAX($E104,DATE(2026,10,1))+1))/$O104</f>
        <v>0</v>
      </c>
      <c r="U104" s="16" t="n">
        <f aca="false">$N104*MAX(0,(MIN($G104,DATE(2026,11,30))-MAX($E104,DATE(2026,11,1))+1))/$O104</f>
        <v>0</v>
      </c>
      <c r="V104" s="16" t="n">
        <f aca="false">$N104*MAX(0,(MIN($G104,DATE(2026,12,31))-MAX($E104,DATE(2026,12,1))+1))/$O104</f>
        <v>0</v>
      </c>
      <c r="W104" s="17" t="n">
        <f aca="false">$H104*MAX(0,(MIN($G104,DATE(2026,7,31))-MAX($E104,DATE(2026,7,1))+1))/30.4</f>
        <v>0.855263157894737</v>
      </c>
      <c r="X104" s="17" t="n">
        <f aca="false">$H104*MAX(0,(MIN($G104,DATE(2026,8,31))-MAX($E104,DATE(2026,8,1))+1))/30.4</f>
        <v>0.328947368421053</v>
      </c>
      <c r="Y104" s="17" t="n">
        <f aca="false">$H104*MAX(0,(MIN($G104,DATE(2026,9,30))-MAX($E104,DATE(2026,9,1))+1))/30.4</f>
        <v>0</v>
      </c>
      <c r="Z104" s="17" t="n">
        <f aca="false">$H104*MAX(0,(MIN($G104,DATE(2026,10,31))-MAX($E104,DATE(2026,10,1))+1))/30.4</f>
        <v>0</v>
      </c>
      <c r="AA104" s="17" t="n">
        <f aca="false">$H104*MAX(0,(MIN($G104,DATE(2026,11,30))-MAX($E104,DATE(2026,11,1))+1))/30.4</f>
        <v>0</v>
      </c>
      <c r="AB104" s="17" t="n">
        <f aca="false">$H104*MAX(0,(MIN($G104,DATE(2026,12,31))-MAX($E104,DATE(2026,12,1))+1))/30.4</f>
        <v>0</v>
      </c>
    </row>
    <row r="105" customFormat="false" ht="15" hidden="false" customHeight="false" outlineLevel="0" collapsed="false">
      <c r="A105" s="10" t="n">
        <v>55</v>
      </c>
      <c r="B105" s="10" t="n">
        <v>3</v>
      </c>
      <c r="C105" s="10"/>
      <c r="D105" s="10" t="s">
        <v>75</v>
      </c>
      <c r="E105" s="12" t="n">
        <v>46209</v>
      </c>
      <c r="F105" s="10" t="n">
        <v>5</v>
      </c>
      <c r="G105" s="12" t="n">
        <v>46244</v>
      </c>
      <c r="H105" s="13" t="n">
        <v>1</v>
      </c>
      <c r="I105" s="10" t="s">
        <v>113</v>
      </c>
      <c r="J105" s="14" t="str">
        <f aca="false">IFERROR(VLOOKUP(D105,Role_Mapping!$A$5:$D$31,2,FALSE()),"UNMAPPED")</f>
        <v>Software Engineer</v>
      </c>
      <c r="K105" s="14" t="str">
        <f aca="false">IFERROR(VLOOKUP(D105,Role_Mapping!$A$5:$D$31,3,FALSE()),"IN")</f>
        <v>IN</v>
      </c>
      <c r="L105" s="15" t="n">
        <f aca="false">IFERROR(SUMPRODUCT((Rate_Card!$A$5:$A$34=J105)*(Rate_Card!$B$5:$B$34=K105)*Rate_Card!$C$5:$C$34),0)</f>
        <v>455</v>
      </c>
      <c r="M105" s="10" t="n">
        <f aca="false">F105*5</f>
        <v>25</v>
      </c>
      <c r="N105" s="16" t="n">
        <f aca="false">L105*M105*H105</f>
        <v>11375</v>
      </c>
      <c r="O105" s="10" t="n">
        <f aca="false">(G105-E105)+1</f>
        <v>36</v>
      </c>
      <c r="P105" s="14" t="str">
        <f aca="false">IFERROR(VLOOKUP(D105,Role_Mapping!$A$5:$D$31,4,FALSE()),"UNMAPPED")</f>
        <v>Full Stack</v>
      </c>
      <c r="Q105" s="16" t="n">
        <f aca="false">$N105*MAX(0,(MIN($G105,DATE(2026,7,31))-MAX($E105,DATE(2026,7,1))+1))/$O105</f>
        <v>8215.27777777778</v>
      </c>
      <c r="R105" s="16" t="n">
        <f aca="false">$N105*MAX(0,(MIN($G105,DATE(2026,8,31))-MAX($E105,DATE(2026,8,1))+1))/$O105</f>
        <v>3159.72222222222</v>
      </c>
      <c r="S105" s="16" t="n">
        <f aca="false">$N105*MAX(0,(MIN($G105,DATE(2026,9,30))-MAX($E105,DATE(2026,9,1))+1))/$O105</f>
        <v>0</v>
      </c>
      <c r="T105" s="16" t="n">
        <f aca="false">$N105*MAX(0,(MIN($G105,DATE(2026,10,31))-MAX($E105,DATE(2026,10,1))+1))/$O105</f>
        <v>0</v>
      </c>
      <c r="U105" s="16" t="n">
        <f aca="false">$N105*MAX(0,(MIN($G105,DATE(2026,11,30))-MAX($E105,DATE(2026,11,1))+1))/$O105</f>
        <v>0</v>
      </c>
      <c r="V105" s="16" t="n">
        <f aca="false">$N105*MAX(0,(MIN($G105,DATE(2026,12,31))-MAX($E105,DATE(2026,12,1))+1))/$O105</f>
        <v>0</v>
      </c>
      <c r="W105" s="17" t="n">
        <f aca="false">$H105*MAX(0,(MIN($G105,DATE(2026,7,31))-MAX($E105,DATE(2026,7,1))+1))/30.4</f>
        <v>0.855263157894737</v>
      </c>
      <c r="X105" s="17" t="n">
        <f aca="false">$H105*MAX(0,(MIN($G105,DATE(2026,8,31))-MAX($E105,DATE(2026,8,1))+1))/30.4</f>
        <v>0.328947368421053</v>
      </c>
      <c r="Y105" s="17" t="n">
        <f aca="false">$H105*MAX(0,(MIN($G105,DATE(2026,9,30))-MAX($E105,DATE(2026,9,1))+1))/30.4</f>
        <v>0</v>
      </c>
      <c r="Z105" s="17" t="n">
        <f aca="false">$H105*MAX(0,(MIN($G105,DATE(2026,10,31))-MAX($E105,DATE(2026,10,1))+1))/30.4</f>
        <v>0</v>
      </c>
      <c r="AA105" s="17" t="n">
        <f aca="false">$H105*MAX(0,(MIN($G105,DATE(2026,11,30))-MAX($E105,DATE(2026,11,1))+1))/30.4</f>
        <v>0</v>
      </c>
      <c r="AB105" s="17" t="n">
        <f aca="false">$H105*MAX(0,(MIN($G105,DATE(2026,12,31))-MAX($E105,DATE(2026,12,1))+1))/30.4</f>
        <v>0</v>
      </c>
    </row>
    <row r="106" customFormat="false" ht="15" hidden="false" customHeight="false" outlineLevel="0" collapsed="false">
      <c r="A106" s="10" t="n">
        <v>56</v>
      </c>
      <c r="B106" s="10" t="n">
        <v>1</v>
      </c>
      <c r="C106" s="10" t="s">
        <v>134</v>
      </c>
      <c r="D106" s="10" t="s">
        <v>75</v>
      </c>
      <c r="E106" s="12" t="n">
        <v>46181</v>
      </c>
      <c r="F106" s="10" t="n">
        <v>5</v>
      </c>
      <c r="G106" s="12" t="n">
        <v>46216</v>
      </c>
      <c r="H106" s="13" t="n">
        <v>1</v>
      </c>
      <c r="I106" s="10" t="s">
        <v>113</v>
      </c>
      <c r="J106" s="14" t="str">
        <f aca="false">IFERROR(VLOOKUP(D106,Role_Mapping!$A$5:$D$31,2,FALSE()),"UNMAPPED")</f>
        <v>Software Engineer</v>
      </c>
      <c r="K106" s="14" t="str">
        <f aca="false">IFERROR(VLOOKUP(D106,Role_Mapping!$A$5:$D$31,3,FALSE()),"IN")</f>
        <v>IN</v>
      </c>
      <c r="L106" s="15" t="n">
        <f aca="false">IFERROR(SUMPRODUCT((Rate_Card!$A$5:$A$34=J106)*(Rate_Card!$B$5:$B$34=K106)*Rate_Card!$C$5:$C$34),0)</f>
        <v>455</v>
      </c>
      <c r="M106" s="10" t="n">
        <f aca="false">F106*5</f>
        <v>25</v>
      </c>
      <c r="N106" s="16" t="n">
        <f aca="false">L106*M106*H106</f>
        <v>11375</v>
      </c>
      <c r="O106" s="10" t="n">
        <f aca="false">(G106-E106)+1</f>
        <v>36</v>
      </c>
      <c r="P106" s="14" t="str">
        <f aca="false">IFERROR(VLOOKUP(D106,Role_Mapping!$A$5:$D$31,4,FALSE()),"UNMAPPED")</f>
        <v>Full Stack</v>
      </c>
      <c r="Q106" s="16" t="n">
        <f aca="false">$N106*MAX(0,(MIN($G106,DATE(2026,7,31))-MAX($E106,DATE(2026,7,1))+1))/$O106</f>
        <v>4107.63888888889</v>
      </c>
      <c r="R106" s="16" t="n">
        <f aca="false">$N106*MAX(0,(MIN($G106,DATE(2026,8,31))-MAX($E106,DATE(2026,8,1))+1))/$O106</f>
        <v>0</v>
      </c>
      <c r="S106" s="16" t="n">
        <f aca="false">$N106*MAX(0,(MIN($G106,DATE(2026,9,30))-MAX($E106,DATE(2026,9,1))+1))/$O106</f>
        <v>0</v>
      </c>
      <c r="T106" s="16" t="n">
        <f aca="false">$N106*MAX(0,(MIN($G106,DATE(2026,10,31))-MAX($E106,DATE(2026,10,1))+1))/$O106</f>
        <v>0</v>
      </c>
      <c r="U106" s="16" t="n">
        <f aca="false">$N106*MAX(0,(MIN($G106,DATE(2026,11,30))-MAX($E106,DATE(2026,11,1))+1))/$O106</f>
        <v>0</v>
      </c>
      <c r="V106" s="16" t="n">
        <f aca="false">$N106*MAX(0,(MIN($G106,DATE(2026,12,31))-MAX($E106,DATE(2026,12,1))+1))/$O106</f>
        <v>0</v>
      </c>
      <c r="W106" s="17" t="n">
        <f aca="false">$H106*MAX(0,(MIN($G106,DATE(2026,7,31))-MAX($E106,DATE(2026,7,1))+1))/30.4</f>
        <v>0.427631578947368</v>
      </c>
      <c r="X106" s="17" t="n">
        <f aca="false">$H106*MAX(0,(MIN($G106,DATE(2026,8,31))-MAX($E106,DATE(2026,8,1))+1))/30.4</f>
        <v>0</v>
      </c>
      <c r="Y106" s="17" t="n">
        <f aca="false">$H106*MAX(0,(MIN($G106,DATE(2026,9,30))-MAX($E106,DATE(2026,9,1))+1))/30.4</f>
        <v>0</v>
      </c>
      <c r="Z106" s="17" t="n">
        <f aca="false">$H106*MAX(0,(MIN($G106,DATE(2026,10,31))-MAX($E106,DATE(2026,10,1))+1))/30.4</f>
        <v>0</v>
      </c>
      <c r="AA106" s="17" t="n">
        <f aca="false">$H106*MAX(0,(MIN($G106,DATE(2026,11,30))-MAX($E106,DATE(2026,11,1))+1))/30.4</f>
        <v>0</v>
      </c>
      <c r="AB106" s="17" t="n">
        <f aca="false">$H106*MAX(0,(MIN($G106,DATE(2026,12,31))-MAX($E106,DATE(2026,12,1))+1))/30.4</f>
        <v>0</v>
      </c>
    </row>
    <row r="107" customFormat="false" ht="15" hidden="false" customHeight="false" outlineLevel="0" collapsed="false">
      <c r="A107" s="10" t="n">
        <v>57</v>
      </c>
      <c r="B107" s="10" t="n">
        <v>2</v>
      </c>
      <c r="C107" s="10" t="s">
        <v>135</v>
      </c>
      <c r="D107" s="10" t="s">
        <v>62</v>
      </c>
      <c r="E107" s="12" t="n">
        <v>46202</v>
      </c>
      <c r="F107" s="10" t="n">
        <v>4</v>
      </c>
      <c r="G107" s="12" t="n">
        <v>46230</v>
      </c>
      <c r="H107" s="13" t="n">
        <v>0.5</v>
      </c>
      <c r="I107" s="10" t="s">
        <v>113</v>
      </c>
      <c r="J107" s="14" t="str">
        <f aca="false">IFERROR(VLOOKUP(D107,Role_Mapping!$A$5:$D$31,2,FALSE()),"UNMAPPED")</f>
        <v>Associate Partner</v>
      </c>
      <c r="K107" s="14" t="str">
        <f aca="false">IFERROR(VLOOKUP(D107,Role_Mapping!$A$5:$D$31,3,FALSE()),"IN")</f>
        <v>UK</v>
      </c>
      <c r="L107" s="15" t="n">
        <f aca="false">IFERROR(SUMPRODUCT((Rate_Card!$A$5:$A$34=J107)*(Rate_Card!$B$5:$B$34=K107)*Rate_Card!$C$5:$C$34),0)</f>
        <v>3526</v>
      </c>
      <c r="M107" s="10" t="n">
        <f aca="false">F107*5</f>
        <v>20</v>
      </c>
      <c r="N107" s="16" t="n">
        <f aca="false">L107*M107*H107</f>
        <v>35260</v>
      </c>
      <c r="O107" s="10" t="n">
        <f aca="false">(G107-E107)+1</f>
        <v>29</v>
      </c>
      <c r="P107" s="14" t="str">
        <f aca="false">IFERROR(VLOOKUP(D107,Role_Mapping!$A$5:$D$31,4,FALSE()),"UNMAPPED")</f>
        <v>GTM</v>
      </c>
      <c r="Q107" s="16" t="n">
        <f aca="false">$N107*MAX(0,(MIN($G107,DATE(2026,7,31))-MAX($E107,DATE(2026,7,1))+1))/$O107</f>
        <v>32828.275862069</v>
      </c>
      <c r="R107" s="16" t="n">
        <f aca="false">$N107*MAX(0,(MIN($G107,DATE(2026,8,31))-MAX($E107,DATE(2026,8,1))+1))/$O107</f>
        <v>0</v>
      </c>
      <c r="S107" s="16" t="n">
        <f aca="false">$N107*MAX(0,(MIN($G107,DATE(2026,9,30))-MAX($E107,DATE(2026,9,1))+1))/$O107</f>
        <v>0</v>
      </c>
      <c r="T107" s="16" t="n">
        <f aca="false">$N107*MAX(0,(MIN($G107,DATE(2026,10,31))-MAX($E107,DATE(2026,10,1))+1))/$O107</f>
        <v>0</v>
      </c>
      <c r="U107" s="16" t="n">
        <f aca="false">$N107*MAX(0,(MIN($G107,DATE(2026,11,30))-MAX($E107,DATE(2026,11,1))+1))/$O107</f>
        <v>0</v>
      </c>
      <c r="V107" s="16" t="n">
        <f aca="false">$N107*MAX(0,(MIN($G107,DATE(2026,12,31))-MAX($E107,DATE(2026,12,1))+1))/$O107</f>
        <v>0</v>
      </c>
      <c r="W107" s="17" t="n">
        <f aca="false">$H107*MAX(0,(MIN($G107,DATE(2026,7,31))-MAX($E107,DATE(2026,7,1))+1))/30.4</f>
        <v>0.444078947368421</v>
      </c>
      <c r="X107" s="17" t="n">
        <f aca="false">$H107*MAX(0,(MIN($G107,DATE(2026,8,31))-MAX($E107,DATE(2026,8,1))+1))/30.4</f>
        <v>0</v>
      </c>
      <c r="Y107" s="17" t="n">
        <f aca="false">$H107*MAX(0,(MIN($G107,DATE(2026,9,30))-MAX($E107,DATE(2026,9,1))+1))/30.4</f>
        <v>0</v>
      </c>
      <c r="Z107" s="17" t="n">
        <f aca="false">$H107*MAX(0,(MIN($G107,DATE(2026,10,31))-MAX($E107,DATE(2026,10,1))+1))/30.4</f>
        <v>0</v>
      </c>
      <c r="AA107" s="17" t="n">
        <f aca="false">$H107*MAX(0,(MIN($G107,DATE(2026,11,30))-MAX($E107,DATE(2026,11,1))+1))/30.4</f>
        <v>0</v>
      </c>
      <c r="AB107" s="17" t="n">
        <f aca="false">$H107*MAX(0,(MIN($G107,DATE(2026,12,31))-MAX($E107,DATE(2026,12,1))+1))/30.4</f>
        <v>0</v>
      </c>
    </row>
    <row r="108" customFormat="false" ht="15" hidden="false" customHeight="false" outlineLevel="0" collapsed="false">
      <c r="A108" s="10" t="n">
        <v>58</v>
      </c>
      <c r="B108" s="10" t="n">
        <v>2</v>
      </c>
      <c r="C108" s="10"/>
      <c r="D108" s="10" t="s">
        <v>73</v>
      </c>
      <c r="E108" s="12" t="n">
        <v>46202</v>
      </c>
      <c r="F108" s="10" t="n">
        <v>5</v>
      </c>
      <c r="G108" s="12" t="n">
        <v>46237</v>
      </c>
      <c r="H108" s="13" t="n">
        <v>0.5</v>
      </c>
      <c r="I108" s="10" t="s">
        <v>113</v>
      </c>
      <c r="J108" s="14" t="str">
        <f aca="false">IFERROR(VLOOKUP(D108,Role_Mapping!$A$5:$D$31,2,FALSE()),"UNMAPPED")</f>
        <v>Senior Consultant</v>
      </c>
      <c r="K108" s="14" t="str">
        <f aca="false">IFERROR(VLOOKUP(D108,Role_Mapping!$A$5:$D$31,3,FALSE()),"IN")</f>
        <v>UK</v>
      </c>
      <c r="L108" s="15" t="n">
        <f aca="false">IFERROR(SUMPRODUCT((Rate_Card!$A$5:$A$34=J108)*(Rate_Card!$B$5:$B$34=K108)*Rate_Card!$C$5:$C$34),0)</f>
        <v>2798</v>
      </c>
      <c r="M108" s="10" t="n">
        <f aca="false">F108*5</f>
        <v>25</v>
      </c>
      <c r="N108" s="16" t="n">
        <f aca="false">L108*M108*H108</f>
        <v>34975</v>
      </c>
      <c r="O108" s="10" t="n">
        <f aca="false">(G108-E108)+1</f>
        <v>36</v>
      </c>
      <c r="P108" s="14" t="str">
        <f aca="false">IFERROR(VLOOKUP(D108,Role_Mapping!$A$5:$D$31,4,FALSE()),"UNMAPPED")</f>
        <v>Consulting</v>
      </c>
      <c r="Q108" s="16" t="n">
        <f aca="false">$N108*MAX(0,(MIN($G108,DATE(2026,7,31))-MAX($E108,DATE(2026,7,1))+1))/$O108</f>
        <v>30117.3611111111</v>
      </c>
      <c r="R108" s="16" t="n">
        <f aca="false">$N108*MAX(0,(MIN($G108,DATE(2026,8,31))-MAX($E108,DATE(2026,8,1))+1))/$O108</f>
        <v>2914.58333333333</v>
      </c>
      <c r="S108" s="16" t="n">
        <f aca="false">$N108*MAX(0,(MIN($G108,DATE(2026,9,30))-MAX($E108,DATE(2026,9,1))+1))/$O108</f>
        <v>0</v>
      </c>
      <c r="T108" s="16" t="n">
        <f aca="false">$N108*MAX(0,(MIN($G108,DATE(2026,10,31))-MAX($E108,DATE(2026,10,1))+1))/$O108</f>
        <v>0</v>
      </c>
      <c r="U108" s="16" t="n">
        <f aca="false">$N108*MAX(0,(MIN($G108,DATE(2026,11,30))-MAX($E108,DATE(2026,11,1))+1))/$O108</f>
        <v>0</v>
      </c>
      <c r="V108" s="16" t="n">
        <f aca="false">$N108*MAX(0,(MIN($G108,DATE(2026,12,31))-MAX($E108,DATE(2026,12,1))+1))/$O108</f>
        <v>0</v>
      </c>
      <c r="W108" s="17" t="n">
        <f aca="false">$H108*MAX(0,(MIN($G108,DATE(2026,7,31))-MAX($E108,DATE(2026,7,1))+1))/30.4</f>
        <v>0.509868421052632</v>
      </c>
      <c r="X108" s="17" t="n">
        <f aca="false">$H108*MAX(0,(MIN($G108,DATE(2026,8,31))-MAX($E108,DATE(2026,8,1))+1))/30.4</f>
        <v>0.0493421052631579</v>
      </c>
      <c r="Y108" s="17" t="n">
        <f aca="false">$H108*MAX(0,(MIN($G108,DATE(2026,9,30))-MAX($E108,DATE(2026,9,1))+1))/30.4</f>
        <v>0</v>
      </c>
      <c r="Z108" s="17" t="n">
        <f aca="false">$H108*MAX(0,(MIN($G108,DATE(2026,10,31))-MAX($E108,DATE(2026,10,1))+1))/30.4</f>
        <v>0</v>
      </c>
      <c r="AA108" s="17" t="n">
        <f aca="false">$H108*MAX(0,(MIN($G108,DATE(2026,11,30))-MAX($E108,DATE(2026,11,1))+1))/30.4</f>
        <v>0</v>
      </c>
      <c r="AB108" s="17" t="n">
        <f aca="false">$H108*MAX(0,(MIN($G108,DATE(2026,12,31))-MAX($E108,DATE(2026,12,1))+1))/30.4</f>
        <v>0</v>
      </c>
    </row>
    <row r="109" customFormat="false" ht="15" hidden="false" customHeight="false" outlineLevel="0" collapsed="false">
      <c r="A109" s="10" t="n">
        <v>59</v>
      </c>
      <c r="B109" s="10" t="n">
        <v>2</v>
      </c>
      <c r="C109" s="10"/>
      <c r="D109" s="10" t="s">
        <v>53</v>
      </c>
      <c r="E109" s="12" t="n">
        <v>46202</v>
      </c>
      <c r="F109" s="10" t="n">
        <v>5</v>
      </c>
      <c r="G109" s="12" t="n">
        <v>46237</v>
      </c>
      <c r="H109" s="13" t="n">
        <v>1</v>
      </c>
      <c r="I109" s="10" t="s">
        <v>113</v>
      </c>
      <c r="J109" s="14" t="str">
        <f aca="false">IFERROR(VLOOKUP(D109,Role_Mapping!$A$5:$D$31,2,FALSE()),"UNMAPPED")</f>
        <v>Consultant</v>
      </c>
      <c r="K109" s="14" t="str">
        <f aca="false">IFERROR(VLOOKUP(D109,Role_Mapping!$A$5:$D$31,3,FALSE()),"IN")</f>
        <v>IN</v>
      </c>
      <c r="L109" s="15" t="n">
        <f aca="false">IFERROR(SUMPRODUCT((Rate_Card!$A$5:$A$34=J109)*(Rate_Card!$B$5:$B$34=K109)*Rate_Card!$C$5:$C$34),0)</f>
        <v>683</v>
      </c>
      <c r="M109" s="10" t="n">
        <f aca="false">F109*5</f>
        <v>25</v>
      </c>
      <c r="N109" s="16" t="n">
        <f aca="false">L109*M109*H109</f>
        <v>17075</v>
      </c>
      <c r="O109" s="10" t="n">
        <f aca="false">(G109-E109)+1</f>
        <v>36</v>
      </c>
      <c r="P109" s="14" t="str">
        <f aca="false">IFERROR(VLOOKUP(D109,Role_Mapping!$A$5:$D$31,4,FALSE()),"UNMAPPED")</f>
        <v>Consulting</v>
      </c>
      <c r="Q109" s="16" t="n">
        <f aca="false">$N109*MAX(0,(MIN($G109,DATE(2026,7,31))-MAX($E109,DATE(2026,7,1))+1))/$O109</f>
        <v>14703.4722222222</v>
      </c>
      <c r="R109" s="16" t="n">
        <f aca="false">$N109*MAX(0,(MIN($G109,DATE(2026,8,31))-MAX($E109,DATE(2026,8,1))+1))/$O109</f>
        <v>1422.91666666667</v>
      </c>
      <c r="S109" s="16" t="n">
        <f aca="false">$N109*MAX(0,(MIN($G109,DATE(2026,9,30))-MAX($E109,DATE(2026,9,1))+1))/$O109</f>
        <v>0</v>
      </c>
      <c r="T109" s="16" t="n">
        <f aca="false">$N109*MAX(0,(MIN($G109,DATE(2026,10,31))-MAX($E109,DATE(2026,10,1))+1))/$O109</f>
        <v>0</v>
      </c>
      <c r="U109" s="16" t="n">
        <f aca="false">$N109*MAX(0,(MIN($G109,DATE(2026,11,30))-MAX($E109,DATE(2026,11,1))+1))/$O109</f>
        <v>0</v>
      </c>
      <c r="V109" s="16" t="n">
        <f aca="false">$N109*MAX(0,(MIN($G109,DATE(2026,12,31))-MAX($E109,DATE(2026,12,1))+1))/$O109</f>
        <v>0</v>
      </c>
      <c r="W109" s="17" t="n">
        <f aca="false">$H109*MAX(0,(MIN($G109,DATE(2026,7,31))-MAX($E109,DATE(2026,7,1))+1))/30.4</f>
        <v>1.01973684210526</v>
      </c>
      <c r="X109" s="17" t="n">
        <f aca="false">$H109*MAX(0,(MIN($G109,DATE(2026,8,31))-MAX($E109,DATE(2026,8,1))+1))/30.4</f>
        <v>0.0986842105263158</v>
      </c>
      <c r="Y109" s="17" t="n">
        <f aca="false">$H109*MAX(0,(MIN($G109,DATE(2026,9,30))-MAX($E109,DATE(2026,9,1))+1))/30.4</f>
        <v>0</v>
      </c>
      <c r="Z109" s="17" t="n">
        <f aca="false">$H109*MAX(0,(MIN($G109,DATE(2026,10,31))-MAX($E109,DATE(2026,10,1))+1))/30.4</f>
        <v>0</v>
      </c>
      <c r="AA109" s="17" t="n">
        <f aca="false">$H109*MAX(0,(MIN($G109,DATE(2026,11,30))-MAX($E109,DATE(2026,11,1))+1))/30.4</f>
        <v>0</v>
      </c>
      <c r="AB109" s="17" t="n">
        <f aca="false">$H109*MAX(0,(MIN($G109,DATE(2026,12,31))-MAX($E109,DATE(2026,12,1))+1))/30.4</f>
        <v>0</v>
      </c>
    </row>
    <row r="110" customFormat="false" ht="15" hidden="false" customHeight="false" outlineLevel="0" collapsed="false">
      <c r="A110" s="10" t="n">
        <v>59</v>
      </c>
      <c r="B110" s="10" t="n">
        <v>2</v>
      </c>
      <c r="C110" s="10"/>
      <c r="D110" s="10" t="s">
        <v>72</v>
      </c>
      <c r="E110" s="12" t="n">
        <v>46202</v>
      </c>
      <c r="F110" s="10" t="n">
        <v>5</v>
      </c>
      <c r="G110" s="12" t="n">
        <v>46237</v>
      </c>
      <c r="H110" s="13" t="n">
        <v>0.5</v>
      </c>
      <c r="I110" s="10" t="s">
        <v>113</v>
      </c>
      <c r="J110" s="14" t="str">
        <f aca="false">IFERROR(VLOOKUP(D110,Role_Mapping!$A$5:$D$31,2,FALSE()),"UNMAPPED")</f>
        <v>Senior Consultant</v>
      </c>
      <c r="K110" s="14" t="str">
        <f aca="false">IFERROR(VLOOKUP(D110,Role_Mapping!$A$5:$D$31,3,FALSE()),"IN")</f>
        <v>UK</v>
      </c>
      <c r="L110" s="15" t="n">
        <f aca="false">IFERROR(SUMPRODUCT((Rate_Card!$A$5:$A$34=J110)*(Rate_Card!$B$5:$B$34=K110)*Rate_Card!$C$5:$C$34),0)</f>
        <v>2798</v>
      </c>
      <c r="M110" s="10" t="n">
        <f aca="false">F110*5</f>
        <v>25</v>
      </c>
      <c r="N110" s="16" t="n">
        <f aca="false">L110*M110*H110</f>
        <v>34975</v>
      </c>
      <c r="O110" s="10" t="n">
        <f aca="false">(G110-E110)+1</f>
        <v>36</v>
      </c>
      <c r="P110" s="14" t="str">
        <f aca="false">IFERROR(VLOOKUP(D110,Role_Mapping!$A$5:$D$31,4,FALSE()),"UNMAPPED")</f>
        <v>Consulting</v>
      </c>
      <c r="Q110" s="16" t="n">
        <f aca="false">$N110*MAX(0,(MIN($G110,DATE(2026,7,31))-MAX($E110,DATE(2026,7,1))+1))/$O110</f>
        <v>30117.3611111111</v>
      </c>
      <c r="R110" s="16" t="n">
        <f aca="false">$N110*MAX(0,(MIN($G110,DATE(2026,8,31))-MAX($E110,DATE(2026,8,1))+1))/$O110</f>
        <v>2914.58333333333</v>
      </c>
      <c r="S110" s="16" t="n">
        <f aca="false">$N110*MAX(0,(MIN($G110,DATE(2026,9,30))-MAX($E110,DATE(2026,9,1))+1))/$O110</f>
        <v>0</v>
      </c>
      <c r="T110" s="16" t="n">
        <f aca="false">$N110*MAX(0,(MIN($G110,DATE(2026,10,31))-MAX($E110,DATE(2026,10,1))+1))/$O110</f>
        <v>0</v>
      </c>
      <c r="U110" s="16" t="n">
        <f aca="false">$N110*MAX(0,(MIN($G110,DATE(2026,11,30))-MAX($E110,DATE(2026,11,1))+1))/$O110</f>
        <v>0</v>
      </c>
      <c r="V110" s="16" t="n">
        <f aca="false">$N110*MAX(0,(MIN($G110,DATE(2026,12,31))-MAX($E110,DATE(2026,12,1))+1))/$O110</f>
        <v>0</v>
      </c>
      <c r="W110" s="17" t="n">
        <f aca="false">$H110*MAX(0,(MIN($G110,DATE(2026,7,31))-MAX($E110,DATE(2026,7,1))+1))/30.4</f>
        <v>0.509868421052632</v>
      </c>
      <c r="X110" s="17" t="n">
        <f aca="false">$H110*MAX(0,(MIN($G110,DATE(2026,8,31))-MAX($E110,DATE(2026,8,1))+1))/30.4</f>
        <v>0.0493421052631579</v>
      </c>
      <c r="Y110" s="17" t="n">
        <f aca="false">$H110*MAX(0,(MIN($G110,DATE(2026,9,30))-MAX($E110,DATE(2026,9,1))+1))/30.4</f>
        <v>0</v>
      </c>
      <c r="Z110" s="17" t="n">
        <f aca="false">$H110*MAX(0,(MIN($G110,DATE(2026,10,31))-MAX($E110,DATE(2026,10,1))+1))/30.4</f>
        <v>0</v>
      </c>
      <c r="AA110" s="17" t="n">
        <f aca="false">$H110*MAX(0,(MIN($G110,DATE(2026,11,30))-MAX($E110,DATE(2026,11,1))+1))/30.4</f>
        <v>0</v>
      </c>
      <c r="AB110" s="17" t="n">
        <f aca="false">$H110*MAX(0,(MIN($G110,DATE(2026,12,31))-MAX($E110,DATE(2026,12,1))+1))/30.4</f>
        <v>0</v>
      </c>
    </row>
    <row r="111" customFormat="false" ht="15" hidden="false" customHeight="false" outlineLevel="0" collapsed="false">
      <c r="A111" s="10" t="n">
        <v>60</v>
      </c>
      <c r="B111" s="10" t="n">
        <v>2</v>
      </c>
      <c r="C111" s="10"/>
      <c r="D111" s="10" t="s">
        <v>76</v>
      </c>
      <c r="E111" s="12" t="n">
        <v>46202</v>
      </c>
      <c r="F111" s="10" t="n">
        <v>5</v>
      </c>
      <c r="G111" s="12" t="n">
        <v>46237</v>
      </c>
      <c r="H111" s="13" t="n">
        <v>1</v>
      </c>
      <c r="I111" s="10" t="s">
        <v>113</v>
      </c>
      <c r="J111" s="14" t="str">
        <f aca="false">IFERROR(VLOOKUP(D111,Role_Mapping!$A$5:$D$31,2,FALSE()),"UNMAPPED")</f>
        <v>Senior Software Engineer</v>
      </c>
      <c r="K111" s="14" t="str">
        <f aca="false">IFERROR(VLOOKUP(D111,Role_Mapping!$A$5:$D$31,3,FALSE()),"IN")</f>
        <v>IN</v>
      </c>
      <c r="L111" s="15" t="n">
        <f aca="false">IFERROR(SUMPRODUCT((Rate_Card!$A$5:$A$34=J111)*(Rate_Card!$B$5:$B$34=K111)*Rate_Card!$C$5:$C$34),0)</f>
        <v>585</v>
      </c>
      <c r="M111" s="10" t="n">
        <f aca="false">F111*5</f>
        <v>25</v>
      </c>
      <c r="N111" s="16" t="n">
        <f aca="false">L111*M111*H111</f>
        <v>14625</v>
      </c>
      <c r="O111" s="10" t="n">
        <f aca="false">(G111-E111)+1</f>
        <v>36</v>
      </c>
      <c r="P111" s="14" t="str">
        <f aca="false">IFERROR(VLOOKUP(D111,Role_Mapping!$A$5:$D$31,4,FALSE()),"UNMAPPED")</f>
        <v>Full Stack</v>
      </c>
      <c r="Q111" s="16" t="n">
        <f aca="false">$N111*MAX(0,(MIN($G111,DATE(2026,7,31))-MAX($E111,DATE(2026,7,1))+1))/$O111</f>
        <v>12593.75</v>
      </c>
      <c r="R111" s="16" t="n">
        <f aca="false">$N111*MAX(0,(MIN($G111,DATE(2026,8,31))-MAX($E111,DATE(2026,8,1))+1))/$O111</f>
        <v>1218.75</v>
      </c>
      <c r="S111" s="16" t="n">
        <f aca="false">$N111*MAX(0,(MIN($G111,DATE(2026,9,30))-MAX($E111,DATE(2026,9,1))+1))/$O111</f>
        <v>0</v>
      </c>
      <c r="T111" s="16" t="n">
        <f aca="false">$N111*MAX(0,(MIN($G111,DATE(2026,10,31))-MAX($E111,DATE(2026,10,1))+1))/$O111</f>
        <v>0</v>
      </c>
      <c r="U111" s="16" t="n">
        <f aca="false">$N111*MAX(0,(MIN($G111,DATE(2026,11,30))-MAX($E111,DATE(2026,11,1))+1))/$O111</f>
        <v>0</v>
      </c>
      <c r="V111" s="16" t="n">
        <f aca="false">$N111*MAX(0,(MIN($G111,DATE(2026,12,31))-MAX($E111,DATE(2026,12,1))+1))/$O111</f>
        <v>0</v>
      </c>
      <c r="W111" s="17" t="n">
        <f aca="false">$H111*MAX(0,(MIN($G111,DATE(2026,7,31))-MAX($E111,DATE(2026,7,1))+1))/30.4</f>
        <v>1.01973684210526</v>
      </c>
      <c r="X111" s="17" t="n">
        <f aca="false">$H111*MAX(0,(MIN($G111,DATE(2026,8,31))-MAX($E111,DATE(2026,8,1))+1))/30.4</f>
        <v>0.0986842105263158</v>
      </c>
      <c r="Y111" s="17" t="n">
        <f aca="false">$H111*MAX(0,(MIN($G111,DATE(2026,9,30))-MAX($E111,DATE(2026,9,1))+1))/30.4</f>
        <v>0</v>
      </c>
      <c r="Z111" s="17" t="n">
        <f aca="false">$H111*MAX(0,(MIN($G111,DATE(2026,10,31))-MAX($E111,DATE(2026,10,1))+1))/30.4</f>
        <v>0</v>
      </c>
      <c r="AA111" s="17" t="n">
        <f aca="false">$H111*MAX(0,(MIN($G111,DATE(2026,11,30))-MAX($E111,DATE(2026,11,1))+1))/30.4</f>
        <v>0</v>
      </c>
      <c r="AB111" s="17" t="n">
        <f aca="false">$H111*MAX(0,(MIN($G111,DATE(2026,12,31))-MAX($E111,DATE(2026,12,1))+1))/30.4</f>
        <v>0</v>
      </c>
    </row>
    <row r="112" customFormat="false" ht="15" hidden="false" customHeight="false" outlineLevel="0" collapsed="false">
      <c r="A112" s="10" t="n">
        <v>61</v>
      </c>
      <c r="B112" s="10" t="n">
        <v>2</v>
      </c>
      <c r="C112" s="10"/>
      <c r="D112" s="10" t="s">
        <v>76</v>
      </c>
      <c r="E112" s="12" t="n">
        <v>46202</v>
      </c>
      <c r="F112" s="10" t="n">
        <v>5</v>
      </c>
      <c r="G112" s="12" t="n">
        <v>46237</v>
      </c>
      <c r="H112" s="13" t="n">
        <v>1</v>
      </c>
      <c r="I112" s="10" t="s">
        <v>113</v>
      </c>
      <c r="J112" s="14" t="str">
        <f aca="false">IFERROR(VLOOKUP(D112,Role_Mapping!$A$5:$D$31,2,FALSE()),"UNMAPPED")</f>
        <v>Senior Software Engineer</v>
      </c>
      <c r="K112" s="14" t="str">
        <f aca="false">IFERROR(VLOOKUP(D112,Role_Mapping!$A$5:$D$31,3,FALSE()),"IN")</f>
        <v>IN</v>
      </c>
      <c r="L112" s="15" t="n">
        <f aca="false">IFERROR(SUMPRODUCT((Rate_Card!$A$5:$A$34=J112)*(Rate_Card!$B$5:$B$34=K112)*Rate_Card!$C$5:$C$34),0)</f>
        <v>585</v>
      </c>
      <c r="M112" s="10" t="n">
        <f aca="false">F112*5</f>
        <v>25</v>
      </c>
      <c r="N112" s="16" t="n">
        <f aca="false">L112*M112*H112</f>
        <v>14625</v>
      </c>
      <c r="O112" s="10" t="n">
        <f aca="false">(G112-E112)+1</f>
        <v>36</v>
      </c>
      <c r="P112" s="14" t="str">
        <f aca="false">IFERROR(VLOOKUP(D112,Role_Mapping!$A$5:$D$31,4,FALSE()),"UNMAPPED")</f>
        <v>Full Stack</v>
      </c>
      <c r="Q112" s="16" t="n">
        <f aca="false">$N112*MAX(0,(MIN($G112,DATE(2026,7,31))-MAX($E112,DATE(2026,7,1))+1))/$O112</f>
        <v>12593.75</v>
      </c>
      <c r="R112" s="16" t="n">
        <f aca="false">$N112*MAX(0,(MIN($G112,DATE(2026,8,31))-MAX($E112,DATE(2026,8,1))+1))/$O112</f>
        <v>1218.75</v>
      </c>
      <c r="S112" s="16" t="n">
        <f aca="false">$N112*MAX(0,(MIN($G112,DATE(2026,9,30))-MAX($E112,DATE(2026,9,1))+1))/$O112</f>
        <v>0</v>
      </c>
      <c r="T112" s="16" t="n">
        <f aca="false">$N112*MAX(0,(MIN($G112,DATE(2026,10,31))-MAX($E112,DATE(2026,10,1))+1))/$O112</f>
        <v>0</v>
      </c>
      <c r="U112" s="16" t="n">
        <f aca="false">$N112*MAX(0,(MIN($G112,DATE(2026,11,30))-MAX($E112,DATE(2026,11,1))+1))/$O112</f>
        <v>0</v>
      </c>
      <c r="V112" s="16" t="n">
        <f aca="false">$N112*MAX(0,(MIN($G112,DATE(2026,12,31))-MAX($E112,DATE(2026,12,1))+1))/$O112</f>
        <v>0</v>
      </c>
      <c r="W112" s="17" t="n">
        <f aca="false">$H112*MAX(0,(MIN($G112,DATE(2026,7,31))-MAX($E112,DATE(2026,7,1))+1))/30.4</f>
        <v>1.01973684210526</v>
      </c>
      <c r="X112" s="17" t="n">
        <f aca="false">$H112*MAX(0,(MIN($G112,DATE(2026,8,31))-MAX($E112,DATE(2026,8,1))+1))/30.4</f>
        <v>0.0986842105263158</v>
      </c>
      <c r="Y112" s="17" t="n">
        <f aca="false">$H112*MAX(0,(MIN($G112,DATE(2026,9,30))-MAX($E112,DATE(2026,9,1))+1))/30.4</f>
        <v>0</v>
      </c>
      <c r="Z112" s="17" t="n">
        <f aca="false">$H112*MAX(0,(MIN($G112,DATE(2026,10,31))-MAX($E112,DATE(2026,10,1))+1))/30.4</f>
        <v>0</v>
      </c>
      <c r="AA112" s="17" t="n">
        <f aca="false">$H112*MAX(0,(MIN($G112,DATE(2026,11,30))-MAX($E112,DATE(2026,11,1))+1))/30.4</f>
        <v>0</v>
      </c>
      <c r="AB112" s="17" t="n">
        <f aca="false">$H112*MAX(0,(MIN($G112,DATE(2026,12,31))-MAX($E112,DATE(2026,12,1))+1))/30.4</f>
        <v>0</v>
      </c>
    </row>
    <row r="113" customFormat="false" ht="15" hidden="false" customHeight="false" outlineLevel="0" collapsed="false">
      <c r="A113" s="10" t="n">
        <v>62</v>
      </c>
      <c r="B113" s="10" t="n">
        <v>4</v>
      </c>
      <c r="C113" s="10" t="s">
        <v>136</v>
      </c>
      <c r="D113" s="10" t="s">
        <v>74</v>
      </c>
      <c r="E113" s="12" t="n">
        <v>46188</v>
      </c>
      <c r="F113" s="10" t="n">
        <v>5</v>
      </c>
      <c r="G113" s="12" t="n">
        <v>46223</v>
      </c>
      <c r="H113" s="13" t="n">
        <v>0.5</v>
      </c>
      <c r="I113" s="10" t="s">
        <v>113</v>
      </c>
      <c r="J113" s="14" t="str">
        <f aca="false">IFERROR(VLOOKUP(D113,Role_Mapping!$A$5:$D$31,2,FALSE()),"UNMAPPED")</f>
        <v>Senior Consultant</v>
      </c>
      <c r="K113" s="14" t="str">
        <f aca="false">IFERROR(VLOOKUP(D113,Role_Mapping!$A$5:$D$31,3,FALSE()),"IN")</f>
        <v>UK</v>
      </c>
      <c r="L113" s="15" t="n">
        <f aca="false">IFERROR(SUMPRODUCT((Rate_Card!$A$5:$A$34=J113)*(Rate_Card!$B$5:$B$34=K113)*Rate_Card!$C$5:$C$34),0)</f>
        <v>2798</v>
      </c>
      <c r="M113" s="10" t="n">
        <f aca="false">F113*5</f>
        <v>25</v>
      </c>
      <c r="N113" s="16" t="n">
        <f aca="false">L113*M113*H113</f>
        <v>34975</v>
      </c>
      <c r="O113" s="10" t="n">
        <f aca="false">(G113-E113)+1</f>
        <v>36</v>
      </c>
      <c r="P113" s="14" t="str">
        <f aca="false">IFERROR(VLOOKUP(D113,Role_Mapping!$A$5:$D$31,4,FALSE()),"UNMAPPED")</f>
        <v>Consulting</v>
      </c>
      <c r="Q113" s="16" t="n">
        <f aca="false">$N113*MAX(0,(MIN($G113,DATE(2026,7,31))-MAX($E113,DATE(2026,7,1))+1))/$O113</f>
        <v>19430.5555555556</v>
      </c>
      <c r="R113" s="16" t="n">
        <f aca="false">$N113*MAX(0,(MIN($G113,DATE(2026,8,31))-MAX($E113,DATE(2026,8,1))+1))/$O113</f>
        <v>0</v>
      </c>
      <c r="S113" s="16" t="n">
        <f aca="false">$N113*MAX(0,(MIN($G113,DATE(2026,9,30))-MAX($E113,DATE(2026,9,1))+1))/$O113</f>
        <v>0</v>
      </c>
      <c r="T113" s="16" t="n">
        <f aca="false">$N113*MAX(0,(MIN($G113,DATE(2026,10,31))-MAX($E113,DATE(2026,10,1))+1))/$O113</f>
        <v>0</v>
      </c>
      <c r="U113" s="16" t="n">
        <f aca="false">$N113*MAX(0,(MIN($G113,DATE(2026,11,30))-MAX($E113,DATE(2026,11,1))+1))/$O113</f>
        <v>0</v>
      </c>
      <c r="V113" s="16" t="n">
        <f aca="false">$N113*MAX(0,(MIN($G113,DATE(2026,12,31))-MAX($E113,DATE(2026,12,1))+1))/$O113</f>
        <v>0</v>
      </c>
      <c r="W113" s="17" t="n">
        <f aca="false">$H113*MAX(0,(MIN($G113,DATE(2026,7,31))-MAX($E113,DATE(2026,7,1))+1))/30.4</f>
        <v>0.328947368421053</v>
      </c>
      <c r="X113" s="17" t="n">
        <f aca="false">$H113*MAX(0,(MIN($G113,DATE(2026,8,31))-MAX($E113,DATE(2026,8,1))+1))/30.4</f>
        <v>0</v>
      </c>
      <c r="Y113" s="17" t="n">
        <f aca="false">$H113*MAX(0,(MIN($G113,DATE(2026,9,30))-MAX($E113,DATE(2026,9,1))+1))/30.4</f>
        <v>0</v>
      </c>
      <c r="Z113" s="17" t="n">
        <f aca="false">$H113*MAX(0,(MIN($G113,DATE(2026,10,31))-MAX($E113,DATE(2026,10,1))+1))/30.4</f>
        <v>0</v>
      </c>
      <c r="AA113" s="17" t="n">
        <f aca="false">$H113*MAX(0,(MIN($G113,DATE(2026,11,30))-MAX($E113,DATE(2026,11,1))+1))/30.4</f>
        <v>0</v>
      </c>
      <c r="AB113" s="17" t="n">
        <f aca="false">$H113*MAX(0,(MIN($G113,DATE(2026,12,31))-MAX($E113,DATE(2026,12,1))+1))/30.4</f>
        <v>0</v>
      </c>
    </row>
    <row r="114" customFormat="false" ht="15" hidden="false" customHeight="false" outlineLevel="0" collapsed="false">
      <c r="A114" s="10" t="n">
        <v>63</v>
      </c>
      <c r="B114" s="10" t="n">
        <v>4</v>
      </c>
      <c r="C114" s="10" t="s">
        <v>137</v>
      </c>
      <c r="D114" s="10" t="s">
        <v>49</v>
      </c>
      <c r="E114" s="12" t="n">
        <v>46188</v>
      </c>
      <c r="F114" s="10" t="n">
        <v>5</v>
      </c>
      <c r="G114" s="12" t="n">
        <v>46223</v>
      </c>
      <c r="H114" s="13" t="n">
        <v>0.125</v>
      </c>
      <c r="I114" s="10" t="s">
        <v>126</v>
      </c>
      <c r="J114" s="14" t="str">
        <f aca="false">IFERROR(VLOOKUP(D114,Role_Mapping!$A$5:$D$31,2,FALSE()),"UNMAPPED")</f>
        <v>Associate Partner</v>
      </c>
      <c r="K114" s="14" t="str">
        <f aca="false">IFERROR(VLOOKUP(D114,Role_Mapping!$A$5:$D$31,3,FALSE()),"IN")</f>
        <v>UK</v>
      </c>
      <c r="L114" s="15" t="n">
        <f aca="false">IFERROR(SUMPRODUCT((Rate_Card!$A$5:$A$34=J114)*(Rate_Card!$B$5:$B$34=K114)*Rate_Card!$C$5:$C$34),0)</f>
        <v>3526</v>
      </c>
      <c r="M114" s="10" t="n">
        <f aca="false">F114*5</f>
        <v>25</v>
      </c>
      <c r="N114" s="16" t="n">
        <f aca="false">L114*M114*H114</f>
        <v>11018.75</v>
      </c>
      <c r="O114" s="10" t="n">
        <f aca="false">(G114-E114)+1</f>
        <v>36</v>
      </c>
      <c r="P114" s="14" t="str">
        <f aca="false">IFERROR(VLOOKUP(D114,Role_Mapping!$A$5:$D$31,4,FALSE()),"UNMAPPED")</f>
        <v>GTM</v>
      </c>
      <c r="Q114" s="16" t="n">
        <f aca="false">$N114*MAX(0,(MIN($G114,DATE(2026,7,31))-MAX($E114,DATE(2026,7,1))+1))/$O114</f>
        <v>6121.52777777778</v>
      </c>
      <c r="R114" s="16" t="n">
        <f aca="false">$N114*MAX(0,(MIN($G114,DATE(2026,8,31))-MAX($E114,DATE(2026,8,1))+1))/$O114</f>
        <v>0</v>
      </c>
      <c r="S114" s="16" t="n">
        <f aca="false">$N114*MAX(0,(MIN($G114,DATE(2026,9,30))-MAX($E114,DATE(2026,9,1))+1))/$O114</f>
        <v>0</v>
      </c>
      <c r="T114" s="16" t="n">
        <f aca="false">$N114*MAX(0,(MIN($G114,DATE(2026,10,31))-MAX($E114,DATE(2026,10,1))+1))/$O114</f>
        <v>0</v>
      </c>
      <c r="U114" s="16" t="n">
        <f aca="false">$N114*MAX(0,(MIN($G114,DATE(2026,11,30))-MAX($E114,DATE(2026,11,1))+1))/$O114</f>
        <v>0</v>
      </c>
      <c r="V114" s="16" t="n">
        <f aca="false">$N114*MAX(0,(MIN($G114,DATE(2026,12,31))-MAX($E114,DATE(2026,12,1))+1))/$O114</f>
        <v>0</v>
      </c>
      <c r="W114" s="17" t="n">
        <f aca="false">$H114*MAX(0,(MIN($G114,DATE(2026,7,31))-MAX($E114,DATE(2026,7,1))+1))/30.4</f>
        <v>0.0822368421052632</v>
      </c>
      <c r="X114" s="17" t="n">
        <f aca="false">$H114*MAX(0,(MIN($G114,DATE(2026,8,31))-MAX($E114,DATE(2026,8,1))+1))/30.4</f>
        <v>0</v>
      </c>
      <c r="Y114" s="17" t="n">
        <f aca="false">$H114*MAX(0,(MIN($G114,DATE(2026,9,30))-MAX($E114,DATE(2026,9,1))+1))/30.4</f>
        <v>0</v>
      </c>
      <c r="Z114" s="17" t="n">
        <f aca="false">$H114*MAX(0,(MIN($G114,DATE(2026,10,31))-MAX($E114,DATE(2026,10,1))+1))/30.4</f>
        <v>0</v>
      </c>
      <c r="AA114" s="17" t="n">
        <f aca="false">$H114*MAX(0,(MIN($G114,DATE(2026,11,30))-MAX($E114,DATE(2026,11,1))+1))/30.4</f>
        <v>0</v>
      </c>
      <c r="AB114" s="17" t="n">
        <f aca="false">$H114*MAX(0,(MIN($G114,DATE(2026,12,31))-MAX($E114,DATE(2026,12,1))+1))/30.4</f>
        <v>0</v>
      </c>
    </row>
    <row r="115" customFormat="false" ht="15" hidden="false" customHeight="false" outlineLevel="0" collapsed="false">
      <c r="A115" s="10" t="n">
        <v>64</v>
      </c>
      <c r="B115" s="10" t="n">
        <v>4</v>
      </c>
      <c r="C115" s="10"/>
      <c r="D115" s="10" t="s">
        <v>64</v>
      </c>
      <c r="E115" s="12" t="n">
        <v>46188</v>
      </c>
      <c r="F115" s="10" t="n">
        <v>5</v>
      </c>
      <c r="G115" s="12" t="n">
        <v>46223</v>
      </c>
      <c r="H115" s="13" t="n">
        <v>0.125</v>
      </c>
      <c r="I115" s="10" t="s">
        <v>126</v>
      </c>
      <c r="J115" s="14" t="str">
        <f aca="false">IFERROR(VLOOKUP(D115,Role_Mapping!$A$5:$D$31,2,FALSE()),"UNMAPPED")</f>
        <v>Principal Technology Architect</v>
      </c>
      <c r="K115" s="14" t="str">
        <f aca="false">IFERROR(VLOOKUP(D115,Role_Mapping!$A$5:$D$31,3,FALSE()),"IN")</f>
        <v>IN</v>
      </c>
      <c r="L115" s="15" t="n">
        <f aca="false">IFERROR(SUMPRODUCT((Rate_Card!$A$5:$A$34=J115)*(Rate_Card!$B$5:$B$34=K115)*Rate_Card!$C$5:$C$34),0)</f>
        <v>845</v>
      </c>
      <c r="M115" s="10" t="n">
        <f aca="false">F115*5</f>
        <v>25</v>
      </c>
      <c r="N115" s="16" t="n">
        <f aca="false">L115*M115*H115</f>
        <v>2640.625</v>
      </c>
      <c r="O115" s="10" t="n">
        <f aca="false">(G115-E115)+1</f>
        <v>36</v>
      </c>
      <c r="P115" s="14" t="str">
        <f aca="false">IFERROR(VLOOKUP(D115,Role_Mapping!$A$5:$D$31,4,FALSE()),"UNMAPPED")</f>
        <v>Full Stack</v>
      </c>
      <c r="Q115" s="16" t="n">
        <f aca="false">$N115*MAX(0,(MIN($G115,DATE(2026,7,31))-MAX($E115,DATE(2026,7,1))+1))/$O115</f>
        <v>1467.01388888889</v>
      </c>
      <c r="R115" s="16" t="n">
        <f aca="false">$N115*MAX(0,(MIN($G115,DATE(2026,8,31))-MAX($E115,DATE(2026,8,1))+1))/$O115</f>
        <v>0</v>
      </c>
      <c r="S115" s="16" t="n">
        <f aca="false">$N115*MAX(0,(MIN($G115,DATE(2026,9,30))-MAX($E115,DATE(2026,9,1))+1))/$O115</f>
        <v>0</v>
      </c>
      <c r="T115" s="16" t="n">
        <f aca="false">$N115*MAX(0,(MIN($G115,DATE(2026,10,31))-MAX($E115,DATE(2026,10,1))+1))/$O115</f>
        <v>0</v>
      </c>
      <c r="U115" s="16" t="n">
        <f aca="false">$N115*MAX(0,(MIN($G115,DATE(2026,11,30))-MAX($E115,DATE(2026,11,1))+1))/$O115</f>
        <v>0</v>
      </c>
      <c r="V115" s="16" t="n">
        <f aca="false">$N115*MAX(0,(MIN($G115,DATE(2026,12,31))-MAX($E115,DATE(2026,12,1))+1))/$O115</f>
        <v>0</v>
      </c>
      <c r="W115" s="17" t="n">
        <f aca="false">$H115*MAX(0,(MIN($G115,DATE(2026,7,31))-MAX($E115,DATE(2026,7,1))+1))/30.4</f>
        <v>0.0822368421052632</v>
      </c>
      <c r="X115" s="17" t="n">
        <f aca="false">$H115*MAX(0,(MIN($G115,DATE(2026,8,31))-MAX($E115,DATE(2026,8,1))+1))/30.4</f>
        <v>0</v>
      </c>
      <c r="Y115" s="17" t="n">
        <f aca="false">$H115*MAX(0,(MIN($G115,DATE(2026,9,30))-MAX($E115,DATE(2026,9,1))+1))/30.4</f>
        <v>0</v>
      </c>
      <c r="Z115" s="17" t="n">
        <f aca="false">$H115*MAX(0,(MIN($G115,DATE(2026,10,31))-MAX($E115,DATE(2026,10,1))+1))/30.4</f>
        <v>0</v>
      </c>
      <c r="AA115" s="17" t="n">
        <f aca="false">$H115*MAX(0,(MIN($G115,DATE(2026,11,30))-MAX($E115,DATE(2026,11,1))+1))/30.4</f>
        <v>0</v>
      </c>
      <c r="AB115" s="17" t="n">
        <f aca="false">$H115*MAX(0,(MIN($G115,DATE(2026,12,31))-MAX($E115,DATE(2026,12,1))+1))/30.4</f>
        <v>0</v>
      </c>
    </row>
    <row r="116" customFormat="false" ht="15" hidden="false" customHeight="false" outlineLevel="0" collapsed="false">
      <c r="A116" s="10" t="n">
        <v>65</v>
      </c>
      <c r="B116" s="10" t="n">
        <v>4</v>
      </c>
      <c r="C116" s="10"/>
      <c r="D116" s="10" t="s">
        <v>61</v>
      </c>
      <c r="E116" s="12" t="n">
        <v>46188</v>
      </c>
      <c r="F116" s="10" t="n">
        <v>5</v>
      </c>
      <c r="G116" s="12" t="n">
        <v>46223</v>
      </c>
      <c r="H116" s="13" t="n">
        <v>0.5</v>
      </c>
      <c r="I116" s="10" t="s">
        <v>126</v>
      </c>
      <c r="J116" s="14" t="str">
        <f aca="false">IFERROR(VLOOKUP(D116,Role_Mapping!$A$5:$D$31,2,FALSE()),"UNMAPPED")</f>
        <v>Manager</v>
      </c>
      <c r="K116" s="14" t="str">
        <f aca="false">IFERROR(VLOOKUP(D116,Role_Mapping!$A$5:$D$31,3,FALSE()),"IN")</f>
        <v>UK</v>
      </c>
      <c r="L116" s="15" t="n">
        <f aca="false">IFERROR(SUMPRODUCT((Rate_Card!$A$5:$A$34=J116)*(Rate_Card!$B$5:$B$34=K116)*Rate_Card!$C$5:$C$34),0)</f>
        <v>2984</v>
      </c>
      <c r="M116" s="10" t="n">
        <f aca="false">F116*5</f>
        <v>25</v>
      </c>
      <c r="N116" s="16" t="n">
        <f aca="false">L116*M116*H116</f>
        <v>37300</v>
      </c>
      <c r="O116" s="10" t="n">
        <f aca="false">(G116-E116)+1</f>
        <v>36</v>
      </c>
      <c r="P116" s="14" t="str">
        <f aca="false">IFERROR(VLOOKUP(D116,Role_Mapping!$A$5:$D$31,4,FALSE()),"UNMAPPED")</f>
        <v>Consulting</v>
      </c>
      <c r="Q116" s="16" t="n">
        <f aca="false">$N116*MAX(0,(MIN($G116,DATE(2026,7,31))-MAX($E116,DATE(2026,7,1))+1))/$O116</f>
        <v>20722.2222222222</v>
      </c>
      <c r="R116" s="16" t="n">
        <f aca="false">$N116*MAX(0,(MIN($G116,DATE(2026,8,31))-MAX($E116,DATE(2026,8,1))+1))/$O116</f>
        <v>0</v>
      </c>
      <c r="S116" s="16" t="n">
        <f aca="false">$N116*MAX(0,(MIN($G116,DATE(2026,9,30))-MAX($E116,DATE(2026,9,1))+1))/$O116</f>
        <v>0</v>
      </c>
      <c r="T116" s="16" t="n">
        <f aca="false">$N116*MAX(0,(MIN($G116,DATE(2026,10,31))-MAX($E116,DATE(2026,10,1))+1))/$O116</f>
        <v>0</v>
      </c>
      <c r="U116" s="16" t="n">
        <f aca="false">$N116*MAX(0,(MIN($G116,DATE(2026,11,30))-MAX($E116,DATE(2026,11,1))+1))/$O116</f>
        <v>0</v>
      </c>
      <c r="V116" s="16" t="n">
        <f aca="false">$N116*MAX(0,(MIN($G116,DATE(2026,12,31))-MAX($E116,DATE(2026,12,1))+1))/$O116</f>
        <v>0</v>
      </c>
      <c r="W116" s="17" t="n">
        <f aca="false">$H116*MAX(0,(MIN($G116,DATE(2026,7,31))-MAX($E116,DATE(2026,7,1))+1))/30.4</f>
        <v>0.328947368421053</v>
      </c>
      <c r="X116" s="17" t="n">
        <f aca="false">$H116*MAX(0,(MIN($G116,DATE(2026,8,31))-MAX($E116,DATE(2026,8,1))+1))/30.4</f>
        <v>0</v>
      </c>
      <c r="Y116" s="17" t="n">
        <f aca="false">$H116*MAX(0,(MIN($G116,DATE(2026,9,30))-MAX($E116,DATE(2026,9,1))+1))/30.4</f>
        <v>0</v>
      </c>
      <c r="Z116" s="17" t="n">
        <f aca="false">$H116*MAX(0,(MIN($G116,DATE(2026,10,31))-MAX($E116,DATE(2026,10,1))+1))/30.4</f>
        <v>0</v>
      </c>
      <c r="AA116" s="17" t="n">
        <f aca="false">$H116*MAX(0,(MIN($G116,DATE(2026,11,30))-MAX($E116,DATE(2026,11,1))+1))/30.4</f>
        <v>0</v>
      </c>
      <c r="AB116" s="17" t="n">
        <f aca="false">$H116*MAX(0,(MIN($G116,DATE(2026,12,31))-MAX($E116,DATE(2026,12,1))+1))/30.4</f>
        <v>0</v>
      </c>
    </row>
    <row r="117" customFormat="false" ht="15" hidden="false" customHeight="false" outlineLevel="0" collapsed="false">
      <c r="A117" s="10" t="n">
        <v>66</v>
      </c>
      <c r="B117" s="10" t="n">
        <v>4</v>
      </c>
      <c r="C117" s="10"/>
      <c r="D117" s="10" t="s">
        <v>67</v>
      </c>
      <c r="E117" s="12" t="n">
        <v>46188</v>
      </c>
      <c r="F117" s="10" t="n">
        <v>5</v>
      </c>
      <c r="G117" s="12" t="n">
        <v>46223</v>
      </c>
      <c r="H117" s="13" t="n">
        <v>1</v>
      </c>
      <c r="I117" s="10" t="s">
        <v>126</v>
      </c>
      <c r="J117" s="14" t="str">
        <f aca="false">IFERROR(VLOOKUP(D117,Role_Mapping!$A$5:$D$31,2,FALSE()),"UNMAPPED")</f>
        <v>Senior Associate Consultant</v>
      </c>
      <c r="K117" s="14" t="str">
        <f aca="false">IFERROR(VLOOKUP(D117,Role_Mapping!$A$5:$D$31,3,FALSE()),"IN")</f>
        <v>IN</v>
      </c>
      <c r="L117" s="15" t="n">
        <f aca="false">IFERROR(SUMPRODUCT((Rate_Card!$A$5:$A$34=J117)*(Rate_Card!$B$5:$B$34=K117)*Rate_Card!$C$5:$C$34),0)</f>
        <v>683</v>
      </c>
      <c r="M117" s="10" t="n">
        <f aca="false">F117*5</f>
        <v>25</v>
      </c>
      <c r="N117" s="16" t="n">
        <f aca="false">L117*M117*H117</f>
        <v>17075</v>
      </c>
      <c r="O117" s="10" t="n">
        <f aca="false">(G117-E117)+1</f>
        <v>36</v>
      </c>
      <c r="P117" s="14" t="str">
        <f aca="false">IFERROR(VLOOKUP(D117,Role_Mapping!$A$5:$D$31,4,FALSE()),"UNMAPPED")</f>
        <v>Consulting</v>
      </c>
      <c r="Q117" s="16" t="n">
        <f aca="false">$N117*MAX(0,(MIN($G117,DATE(2026,7,31))-MAX($E117,DATE(2026,7,1))+1))/$O117</f>
        <v>9486.11111111111</v>
      </c>
      <c r="R117" s="16" t="n">
        <f aca="false">$N117*MAX(0,(MIN($G117,DATE(2026,8,31))-MAX($E117,DATE(2026,8,1))+1))/$O117</f>
        <v>0</v>
      </c>
      <c r="S117" s="16" t="n">
        <f aca="false">$N117*MAX(0,(MIN($G117,DATE(2026,9,30))-MAX($E117,DATE(2026,9,1))+1))/$O117</f>
        <v>0</v>
      </c>
      <c r="T117" s="16" t="n">
        <f aca="false">$N117*MAX(0,(MIN($G117,DATE(2026,10,31))-MAX($E117,DATE(2026,10,1))+1))/$O117</f>
        <v>0</v>
      </c>
      <c r="U117" s="16" t="n">
        <f aca="false">$N117*MAX(0,(MIN($G117,DATE(2026,11,30))-MAX($E117,DATE(2026,11,1))+1))/$O117</f>
        <v>0</v>
      </c>
      <c r="V117" s="16" t="n">
        <f aca="false">$N117*MAX(0,(MIN($G117,DATE(2026,12,31))-MAX($E117,DATE(2026,12,1))+1))/$O117</f>
        <v>0</v>
      </c>
      <c r="W117" s="17" t="n">
        <f aca="false">$H117*MAX(0,(MIN($G117,DATE(2026,7,31))-MAX($E117,DATE(2026,7,1))+1))/30.4</f>
        <v>0.657894736842105</v>
      </c>
      <c r="X117" s="17" t="n">
        <f aca="false">$H117*MAX(0,(MIN($G117,DATE(2026,8,31))-MAX($E117,DATE(2026,8,1))+1))/30.4</f>
        <v>0</v>
      </c>
      <c r="Y117" s="17" t="n">
        <f aca="false">$H117*MAX(0,(MIN($G117,DATE(2026,9,30))-MAX($E117,DATE(2026,9,1))+1))/30.4</f>
        <v>0</v>
      </c>
      <c r="Z117" s="17" t="n">
        <f aca="false">$H117*MAX(0,(MIN($G117,DATE(2026,10,31))-MAX($E117,DATE(2026,10,1))+1))/30.4</f>
        <v>0</v>
      </c>
      <c r="AA117" s="17" t="n">
        <f aca="false">$H117*MAX(0,(MIN($G117,DATE(2026,11,30))-MAX($E117,DATE(2026,11,1))+1))/30.4</f>
        <v>0</v>
      </c>
      <c r="AB117" s="17" t="n">
        <f aca="false">$H117*MAX(0,(MIN($G117,DATE(2026,12,31))-MAX($E117,DATE(2026,12,1))+1))/30.4</f>
        <v>0</v>
      </c>
    </row>
    <row r="118" customFormat="false" ht="15" hidden="false" customHeight="false" outlineLevel="0" collapsed="false">
      <c r="A118" s="10" t="n">
        <v>67</v>
      </c>
      <c r="B118" s="10" t="n">
        <v>4</v>
      </c>
      <c r="C118" s="10"/>
      <c r="D118" s="10" t="s">
        <v>80</v>
      </c>
      <c r="E118" s="12" t="n">
        <v>46188</v>
      </c>
      <c r="F118" s="10" t="n">
        <v>5</v>
      </c>
      <c r="G118" s="12" t="n">
        <v>46223</v>
      </c>
      <c r="H118" s="13" t="n">
        <v>0.5</v>
      </c>
      <c r="I118" s="10" t="s">
        <v>126</v>
      </c>
      <c r="J118" s="14" t="str">
        <f aca="false">IFERROR(VLOOKUP(D118,Role_Mapping!$A$5:$D$31,2,FALSE()),"UNMAPPED")</f>
        <v>Solutions Consultant</v>
      </c>
      <c r="K118" s="14" t="str">
        <f aca="false">IFERROR(VLOOKUP(D118,Role_Mapping!$A$5:$D$31,3,FALSE()),"IN")</f>
        <v>IN</v>
      </c>
      <c r="L118" s="15" t="n">
        <f aca="false">IFERROR(SUMPRODUCT((Rate_Card!$A$5:$A$34=J118)*(Rate_Card!$B$5:$B$34=K118)*Rate_Card!$C$5:$C$34),0)</f>
        <v>683</v>
      </c>
      <c r="M118" s="10" t="n">
        <f aca="false">F118*5</f>
        <v>25</v>
      </c>
      <c r="N118" s="16" t="n">
        <f aca="false">L118*M118*H118</f>
        <v>8537.5</v>
      </c>
      <c r="O118" s="10" t="n">
        <f aca="false">(G118-E118)+1</f>
        <v>36</v>
      </c>
      <c r="P118" s="14" t="str">
        <f aca="false">IFERROR(VLOOKUP(D118,Role_Mapping!$A$5:$D$31,4,FALSE()),"UNMAPPED")</f>
        <v>Power BI &amp; Consulting</v>
      </c>
      <c r="Q118" s="16" t="n">
        <f aca="false">$N118*MAX(0,(MIN($G118,DATE(2026,7,31))-MAX($E118,DATE(2026,7,1))+1))/$O118</f>
        <v>4743.05555555556</v>
      </c>
      <c r="R118" s="16" t="n">
        <f aca="false">$N118*MAX(0,(MIN($G118,DATE(2026,8,31))-MAX($E118,DATE(2026,8,1))+1))/$O118</f>
        <v>0</v>
      </c>
      <c r="S118" s="16" t="n">
        <f aca="false">$N118*MAX(0,(MIN($G118,DATE(2026,9,30))-MAX($E118,DATE(2026,9,1))+1))/$O118</f>
        <v>0</v>
      </c>
      <c r="T118" s="16" t="n">
        <f aca="false">$N118*MAX(0,(MIN($G118,DATE(2026,10,31))-MAX($E118,DATE(2026,10,1))+1))/$O118</f>
        <v>0</v>
      </c>
      <c r="U118" s="16" t="n">
        <f aca="false">$N118*MAX(0,(MIN($G118,DATE(2026,11,30))-MAX($E118,DATE(2026,11,1))+1))/$O118</f>
        <v>0</v>
      </c>
      <c r="V118" s="16" t="n">
        <f aca="false">$N118*MAX(0,(MIN($G118,DATE(2026,12,31))-MAX($E118,DATE(2026,12,1))+1))/$O118</f>
        <v>0</v>
      </c>
      <c r="W118" s="17" t="n">
        <f aca="false">$H118*MAX(0,(MIN($G118,DATE(2026,7,31))-MAX($E118,DATE(2026,7,1))+1))/30.4</f>
        <v>0.328947368421053</v>
      </c>
      <c r="X118" s="17" t="n">
        <f aca="false">$H118*MAX(0,(MIN($G118,DATE(2026,8,31))-MAX($E118,DATE(2026,8,1))+1))/30.4</f>
        <v>0</v>
      </c>
      <c r="Y118" s="17" t="n">
        <f aca="false">$H118*MAX(0,(MIN($G118,DATE(2026,9,30))-MAX($E118,DATE(2026,9,1))+1))/30.4</f>
        <v>0</v>
      </c>
      <c r="Z118" s="17" t="n">
        <f aca="false">$H118*MAX(0,(MIN($G118,DATE(2026,10,31))-MAX($E118,DATE(2026,10,1))+1))/30.4</f>
        <v>0</v>
      </c>
      <c r="AA118" s="17" t="n">
        <f aca="false">$H118*MAX(0,(MIN($G118,DATE(2026,11,30))-MAX($E118,DATE(2026,11,1))+1))/30.4</f>
        <v>0</v>
      </c>
      <c r="AB118" s="17" t="n">
        <f aca="false">$H118*MAX(0,(MIN($G118,DATE(2026,12,31))-MAX($E118,DATE(2026,12,1))+1))/30.4</f>
        <v>0</v>
      </c>
    </row>
    <row r="119" customFormat="false" ht="15" hidden="false" customHeight="false" outlineLevel="0" collapsed="false">
      <c r="A119" s="10" t="n">
        <v>68</v>
      </c>
      <c r="B119" s="10" t="n">
        <v>4</v>
      </c>
      <c r="C119" s="10"/>
      <c r="D119" s="10" t="s">
        <v>58</v>
      </c>
      <c r="E119" s="12" t="n">
        <v>46188</v>
      </c>
      <c r="F119" s="10" t="n">
        <v>5</v>
      </c>
      <c r="G119" s="12" t="n">
        <v>46223</v>
      </c>
      <c r="H119" s="13" t="n">
        <v>1</v>
      </c>
      <c r="I119" s="10" t="s">
        <v>126</v>
      </c>
      <c r="J119" s="14" t="str">
        <f aca="false">IFERROR(VLOOKUP(D119,Role_Mapping!$A$5:$D$31,2,FALSE()),"UNMAPPED")</f>
        <v>Solutions Enabler</v>
      </c>
      <c r="K119" s="14" t="str">
        <f aca="false">IFERROR(VLOOKUP(D119,Role_Mapping!$A$5:$D$31,3,FALSE()),"IN")</f>
        <v>IN</v>
      </c>
      <c r="L119" s="15" t="n">
        <f aca="false">IFERROR(SUMPRODUCT((Rate_Card!$A$5:$A$34=J119)*(Rate_Card!$B$5:$B$34=K119)*Rate_Card!$C$5:$C$34),0)</f>
        <v>683</v>
      </c>
      <c r="M119" s="10" t="n">
        <f aca="false">F119*5</f>
        <v>25</v>
      </c>
      <c r="N119" s="16" t="n">
        <f aca="false">L119*M119*H119</f>
        <v>17075</v>
      </c>
      <c r="O119" s="10" t="n">
        <f aca="false">(G119-E119)+1</f>
        <v>36</v>
      </c>
      <c r="P119" s="14" t="str">
        <f aca="false">IFERROR(VLOOKUP(D119,Role_Mapping!$A$5:$D$31,4,FALSE()),"UNMAPPED")</f>
        <v>Data Engineering</v>
      </c>
      <c r="Q119" s="16" t="n">
        <f aca="false">$N119*MAX(0,(MIN($G119,DATE(2026,7,31))-MAX($E119,DATE(2026,7,1))+1))/$O119</f>
        <v>9486.11111111111</v>
      </c>
      <c r="R119" s="16" t="n">
        <f aca="false">$N119*MAX(0,(MIN($G119,DATE(2026,8,31))-MAX($E119,DATE(2026,8,1))+1))/$O119</f>
        <v>0</v>
      </c>
      <c r="S119" s="16" t="n">
        <f aca="false">$N119*MAX(0,(MIN($G119,DATE(2026,9,30))-MAX($E119,DATE(2026,9,1))+1))/$O119</f>
        <v>0</v>
      </c>
      <c r="T119" s="16" t="n">
        <f aca="false">$N119*MAX(0,(MIN($G119,DATE(2026,10,31))-MAX($E119,DATE(2026,10,1))+1))/$O119</f>
        <v>0</v>
      </c>
      <c r="U119" s="16" t="n">
        <f aca="false">$N119*MAX(0,(MIN($G119,DATE(2026,11,30))-MAX($E119,DATE(2026,11,1))+1))/$O119</f>
        <v>0</v>
      </c>
      <c r="V119" s="16" t="n">
        <f aca="false">$N119*MAX(0,(MIN($G119,DATE(2026,12,31))-MAX($E119,DATE(2026,12,1))+1))/$O119</f>
        <v>0</v>
      </c>
      <c r="W119" s="17" t="n">
        <f aca="false">$H119*MAX(0,(MIN($G119,DATE(2026,7,31))-MAX($E119,DATE(2026,7,1))+1))/30.4</f>
        <v>0.657894736842105</v>
      </c>
      <c r="X119" s="17" t="n">
        <f aca="false">$H119*MAX(0,(MIN($G119,DATE(2026,8,31))-MAX($E119,DATE(2026,8,1))+1))/30.4</f>
        <v>0</v>
      </c>
      <c r="Y119" s="17" t="n">
        <f aca="false">$H119*MAX(0,(MIN($G119,DATE(2026,9,30))-MAX($E119,DATE(2026,9,1))+1))/30.4</f>
        <v>0</v>
      </c>
      <c r="Z119" s="17" t="n">
        <f aca="false">$H119*MAX(0,(MIN($G119,DATE(2026,10,31))-MAX($E119,DATE(2026,10,1))+1))/30.4</f>
        <v>0</v>
      </c>
      <c r="AA119" s="17" t="n">
        <f aca="false">$H119*MAX(0,(MIN($G119,DATE(2026,11,30))-MAX($E119,DATE(2026,11,1))+1))/30.4</f>
        <v>0</v>
      </c>
      <c r="AB119" s="17" t="n">
        <f aca="false">$H119*MAX(0,(MIN($G119,DATE(2026,12,31))-MAX($E119,DATE(2026,12,1))+1))/30.4</f>
        <v>0</v>
      </c>
    </row>
    <row r="120" customFormat="false" ht="15" hidden="false" customHeight="false" outlineLevel="0" collapsed="false">
      <c r="A120" s="10" t="n">
        <v>69</v>
      </c>
      <c r="B120" s="10" t="n">
        <v>4</v>
      </c>
      <c r="C120" s="10"/>
      <c r="D120" s="10" t="s">
        <v>76</v>
      </c>
      <c r="E120" s="12" t="n">
        <v>46188</v>
      </c>
      <c r="F120" s="10" t="n">
        <v>5</v>
      </c>
      <c r="G120" s="12" t="n">
        <v>46223</v>
      </c>
      <c r="H120" s="13" t="n">
        <v>1</v>
      </c>
      <c r="I120" s="10" t="s">
        <v>113</v>
      </c>
      <c r="J120" s="14" t="str">
        <f aca="false">IFERROR(VLOOKUP(D120,Role_Mapping!$A$5:$D$31,2,FALSE()),"UNMAPPED")</f>
        <v>Senior Software Engineer</v>
      </c>
      <c r="K120" s="14" t="str">
        <f aca="false">IFERROR(VLOOKUP(D120,Role_Mapping!$A$5:$D$31,3,FALSE()),"IN")</f>
        <v>IN</v>
      </c>
      <c r="L120" s="15" t="n">
        <f aca="false">IFERROR(SUMPRODUCT((Rate_Card!$A$5:$A$34=J120)*(Rate_Card!$B$5:$B$34=K120)*Rate_Card!$C$5:$C$34),0)</f>
        <v>585</v>
      </c>
      <c r="M120" s="10" t="n">
        <f aca="false">F120*5</f>
        <v>25</v>
      </c>
      <c r="N120" s="16" t="n">
        <f aca="false">L120*M120*H120</f>
        <v>14625</v>
      </c>
      <c r="O120" s="10" t="n">
        <f aca="false">(G120-E120)+1</f>
        <v>36</v>
      </c>
      <c r="P120" s="14" t="str">
        <f aca="false">IFERROR(VLOOKUP(D120,Role_Mapping!$A$5:$D$31,4,FALSE()),"UNMAPPED")</f>
        <v>Full Stack</v>
      </c>
      <c r="Q120" s="16" t="n">
        <f aca="false">$N120*MAX(0,(MIN($G120,DATE(2026,7,31))-MAX($E120,DATE(2026,7,1))+1))/$O120</f>
        <v>8125</v>
      </c>
      <c r="R120" s="16" t="n">
        <f aca="false">$N120*MAX(0,(MIN($G120,DATE(2026,8,31))-MAX($E120,DATE(2026,8,1))+1))/$O120</f>
        <v>0</v>
      </c>
      <c r="S120" s="16" t="n">
        <f aca="false">$N120*MAX(0,(MIN($G120,DATE(2026,9,30))-MAX($E120,DATE(2026,9,1))+1))/$O120</f>
        <v>0</v>
      </c>
      <c r="T120" s="16" t="n">
        <f aca="false">$N120*MAX(0,(MIN($G120,DATE(2026,10,31))-MAX($E120,DATE(2026,10,1))+1))/$O120</f>
        <v>0</v>
      </c>
      <c r="U120" s="16" t="n">
        <f aca="false">$N120*MAX(0,(MIN($G120,DATE(2026,11,30))-MAX($E120,DATE(2026,11,1))+1))/$O120</f>
        <v>0</v>
      </c>
      <c r="V120" s="16" t="n">
        <f aca="false">$N120*MAX(0,(MIN($G120,DATE(2026,12,31))-MAX($E120,DATE(2026,12,1))+1))/$O120</f>
        <v>0</v>
      </c>
      <c r="W120" s="17" t="n">
        <f aca="false">$H120*MAX(0,(MIN($G120,DATE(2026,7,31))-MAX($E120,DATE(2026,7,1))+1))/30.4</f>
        <v>0.657894736842105</v>
      </c>
      <c r="X120" s="17" t="n">
        <f aca="false">$H120*MAX(0,(MIN($G120,DATE(2026,8,31))-MAX($E120,DATE(2026,8,1))+1))/30.4</f>
        <v>0</v>
      </c>
      <c r="Y120" s="17" t="n">
        <f aca="false">$H120*MAX(0,(MIN($G120,DATE(2026,9,30))-MAX($E120,DATE(2026,9,1))+1))/30.4</f>
        <v>0</v>
      </c>
      <c r="Z120" s="17" t="n">
        <f aca="false">$H120*MAX(0,(MIN($G120,DATE(2026,10,31))-MAX($E120,DATE(2026,10,1))+1))/30.4</f>
        <v>0</v>
      </c>
      <c r="AA120" s="17" t="n">
        <f aca="false">$H120*MAX(0,(MIN($G120,DATE(2026,11,30))-MAX($E120,DATE(2026,11,1))+1))/30.4</f>
        <v>0</v>
      </c>
      <c r="AB120" s="17" t="n">
        <f aca="false">$H120*MAX(0,(MIN($G120,DATE(2026,12,31))-MAX($E120,DATE(2026,12,1))+1))/30.4</f>
        <v>0</v>
      </c>
    </row>
    <row r="121" customFormat="false" ht="15" hidden="false" customHeight="false" outlineLevel="0" collapsed="false">
      <c r="A121" s="10" t="n">
        <v>70</v>
      </c>
      <c r="B121" s="10" t="n">
        <v>3</v>
      </c>
      <c r="C121" s="10" t="s">
        <v>138</v>
      </c>
      <c r="D121" s="10" t="s">
        <v>56</v>
      </c>
      <c r="E121" s="12" t="n">
        <v>46216</v>
      </c>
      <c r="F121" s="10" t="n">
        <v>5</v>
      </c>
      <c r="G121" s="12" t="n">
        <v>46251</v>
      </c>
      <c r="H121" s="13" t="n">
        <v>0.5</v>
      </c>
      <c r="I121" s="10" t="s">
        <v>113</v>
      </c>
      <c r="J121" s="14" t="str">
        <f aca="false">IFERROR(VLOOKUP(D121,Role_Mapping!$A$5:$D$31,2,FALSE()),"UNMAPPED")</f>
        <v>Manager</v>
      </c>
      <c r="K121" s="14" t="str">
        <f aca="false">IFERROR(VLOOKUP(D121,Role_Mapping!$A$5:$D$31,3,FALSE()),"IN")</f>
        <v>UK</v>
      </c>
      <c r="L121" s="15" t="n">
        <f aca="false">IFERROR(SUMPRODUCT((Rate_Card!$A$5:$A$34=J121)*(Rate_Card!$B$5:$B$34=K121)*Rate_Card!$C$5:$C$34),0)</f>
        <v>2984</v>
      </c>
      <c r="M121" s="10" t="n">
        <f aca="false">F121*5</f>
        <v>25</v>
      </c>
      <c r="N121" s="16" t="n">
        <f aca="false">L121*M121*H121</f>
        <v>37300</v>
      </c>
      <c r="O121" s="10" t="n">
        <f aca="false">(G121-E121)+1</f>
        <v>36</v>
      </c>
      <c r="P121" s="14" t="str">
        <f aca="false">IFERROR(VLOOKUP(D121,Role_Mapping!$A$5:$D$31,4,FALSE()),"UNMAPPED")</f>
        <v>Consulting</v>
      </c>
      <c r="Q121" s="16" t="n">
        <f aca="false">$N121*MAX(0,(MIN($G121,DATE(2026,7,31))-MAX($E121,DATE(2026,7,1))+1))/$O121</f>
        <v>19686.1111111111</v>
      </c>
      <c r="R121" s="16" t="n">
        <f aca="false">$N121*MAX(0,(MIN($G121,DATE(2026,8,31))-MAX($E121,DATE(2026,8,1))+1))/$O121</f>
        <v>17613.8888888889</v>
      </c>
      <c r="S121" s="16" t="n">
        <f aca="false">$N121*MAX(0,(MIN($G121,DATE(2026,9,30))-MAX($E121,DATE(2026,9,1))+1))/$O121</f>
        <v>0</v>
      </c>
      <c r="T121" s="16" t="n">
        <f aca="false">$N121*MAX(0,(MIN($G121,DATE(2026,10,31))-MAX($E121,DATE(2026,10,1))+1))/$O121</f>
        <v>0</v>
      </c>
      <c r="U121" s="16" t="n">
        <f aca="false">$N121*MAX(0,(MIN($G121,DATE(2026,11,30))-MAX($E121,DATE(2026,11,1))+1))/$O121</f>
        <v>0</v>
      </c>
      <c r="V121" s="16" t="n">
        <f aca="false">$N121*MAX(0,(MIN($G121,DATE(2026,12,31))-MAX($E121,DATE(2026,12,1))+1))/$O121</f>
        <v>0</v>
      </c>
      <c r="W121" s="17" t="n">
        <f aca="false">$H121*MAX(0,(MIN($G121,DATE(2026,7,31))-MAX($E121,DATE(2026,7,1))+1))/30.4</f>
        <v>0.3125</v>
      </c>
      <c r="X121" s="17" t="n">
        <f aca="false">$H121*MAX(0,(MIN($G121,DATE(2026,8,31))-MAX($E121,DATE(2026,8,1))+1))/30.4</f>
        <v>0.279605263157895</v>
      </c>
      <c r="Y121" s="17" t="n">
        <f aca="false">$H121*MAX(0,(MIN($G121,DATE(2026,9,30))-MAX($E121,DATE(2026,9,1))+1))/30.4</f>
        <v>0</v>
      </c>
      <c r="Z121" s="17" t="n">
        <f aca="false">$H121*MAX(0,(MIN($G121,DATE(2026,10,31))-MAX($E121,DATE(2026,10,1))+1))/30.4</f>
        <v>0</v>
      </c>
      <c r="AA121" s="17" t="n">
        <f aca="false">$H121*MAX(0,(MIN($G121,DATE(2026,11,30))-MAX($E121,DATE(2026,11,1))+1))/30.4</f>
        <v>0</v>
      </c>
      <c r="AB121" s="17" t="n">
        <f aca="false">$H121*MAX(0,(MIN($G121,DATE(2026,12,31))-MAX($E121,DATE(2026,12,1))+1))/30.4</f>
        <v>0</v>
      </c>
    </row>
    <row r="122" customFormat="false" ht="15" hidden="false" customHeight="false" outlineLevel="0" collapsed="false">
      <c r="A122" s="10" t="n">
        <v>71</v>
      </c>
      <c r="B122" s="10" t="n">
        <v>3</v>
      </c>
      <c r="C122" s="10"/>
      <c r="D122" s="10" t="s">
        <v>70</v>
      </c>
      <c r="E122" s="12" t="n">
        <v>46216</v>
      </c>
      <c r="F122" s="10" t="n">
        <v>5</v>
      </c>
      <c r="G122" s="12" t="n">
        <v>46251</v>
      </c>
      <c r="H122" s="13" t="n">
        <v>1</v>
      </c>
      <c r="I122" s="10" t="s">
        <v>113</v>
      </c>
      <c r="J122" s="14" t="str">
        <f aca="false">IFERROR(VLOOKUP(D122,Role_Mapping!$A$5:$D$31,2,FALSE()),"UNMAPPED")</f>
        <v>Senior Associate Consultant</v>
      </c>
      <c r="K122" s="14" t="str">
        <f aca="false">IFERROR(VLOOKUP(D122,Role_Mapping!$A$5:$D$31,3,FALSE()),"IN")</f>
        <v>IN</v>
      </c>
      <c r="L122" s="15" t="n">
        <f aca="false">IFERROR(SUMPRODUCT((Rate_Card!$A$5:$A$34=J122)*(Rate_Card!$B$5:$B$34=K122)*Rate_Card!$C$5:$C$34),0)</f>
        <v>683</v>
      </c>
      <c r="M122" s="10" t="n">
        <f aca="false">F122*5</f>
        <v>25</v>
      </c>
      <c r="N122" s="16" t="n">
        <f aca="false">L122*M122*H122</f>
        <v>17075</v>
      </c>
      <c r="O122" s="10" t="n">
        <f aca="false">(G122-E122)+1</f>
        <v>36</v>
      </c>
      <c r="P122" s="14" t="str">
        <f aca="false">IFERROR(VLOOKUP(D122,Role_Mapping!$A$5:$D$31,4,FALSE()),"UNMAPPED")</f>
        <v>Consulting</v>
      </c>
      <c r="Q122" s="16" t="n">
        <f aca="false">$N122*MAX(0,(MIN($G122,DATE(2026,7,31))-MAX($E122,DATE(2026,7,1))+1))/$O122</f>
        <v>9011.80555555556</v>
      </c>
      <c r="R122" s="16" t="n">
        <f aca="false">$N122*MAX(0,(MIN($G122,DATE(2026,8,31))-MAX($E122,DATE(2026,8,1))+1))/$O122</f>
        <v>8063.19444444444</v>
      </c>
      <c r="S122" s="16" t="n">
        <f aca="false">$N122*MAX(0,(MIN($G122,DATE(2026,9,30))-MAX($E122,DATE(2026,9,1))+1))/$O122</f>
        <v>0</v>
      </c>
      <c r="T122" s="16" t="n">
        <f aca="false">$N122*MAX(0,(MIN($G122,DATE(2026,10,31))-MAX($E122,DATE(2026,10,1))+1))/$O122</f>
        <v>0</v>
      </c>
      <c r="U122" s="16" t="n">
        <f aca="false">$N122*MAX(0,(MIN($G122,DATE(2026,11,30))-MAX($E122,DATE(2026,11,1))+1))/$O122</f>
        <v>0</v>
      </c>
      <c r="V122" s="16" t="n">
        <f aca="false">$N122*MAX(0,(MIN($G122,DATE(2026,12,31))-MAX($E122,DATE(2026,12,1))+1))/$O122</f>
        <v>0</v>
      </c>
      <c r="W122" s="17" t="n">
        <f aca="false">$H122*MAX(0,(MIN($G122,DATE(2026,7,31))-MAX($E122,DATE(2026,7,1))+1))/30.4</f>
        <v>0.625</v>
      </c>
      <c r="X122" s="17" t="n">
        <f aca="false">$H122*MAX(0,(MIN($G122,DATE(2026,8,31))-MAX($E122,DATE(2026,8,1))+1))/30.4</f>
        <v>0.55921052631579</v>
      </c>
      <c r="Y122" s="17" t="n">
        <f aca="false">$H122*MAX(0,(MIN($G122,DATE(2026,9,30))-MAX($E122,DATE(2026,9,1))+1))/30.4</f>
        <v>0</v>
      </c>
      <c r="Z122" s="17" t="n">
        <f aca="false">$H122*MAX(0,(MIN($G122,DATE(2026,10,31))-MAX($E122,DATE(2026,10,1))+1))/30.4</f>
        <v>0</v>
      </c>
      <c r="AA122" s="17" t="n">
        <f aca="false">$H122*MAX(0,(MIN($G122,DATE(2026,11,30))-MAX($E122,DATE(2026,11,1))+1))/30.4</f>
        <v>0</v>
      </c>
      <c r="AB122" s="17" t="n">
        <f aca="false">$H122*MAX(0,(MIN($G122,DATE(2026,12,31))-MAX($E122,DATE(2026,12,1))+1))/30.4</f>
        <v>0</v>
      </c>
    </row>
    <row r="123" customFormat="false" ht="15" hidden="false" customHeight="false" outlineLevel="0" collapsed="false">
      <c r="A123" s="10" t="n">
        <v>72</v>
      </c>
      <c r="B123" s="10" t="n">
        <v>3</v>
      </c>
      <c r="C123" s="10"/>
      <c r="D123" s="10" t="s">
        <v>58</v>
      </c>
      <c r="E123" s="12" t="n">
        <v>46216</v>
      </c>
      <c r="F123" s="10" t="n">
        <v>5</v>
      </c>
      <c r="G123" s="12" t="n">
        <v>46251</v>
      </c>
      <c r="H123" s="13" t="n">
        <v>1</v>
      </c>
      <c r="I123" s="10" t="s">
        <v>113</v>
      </c>
      <c r="J123" s="14" t="str">
        <f aca="false">IFERROR(VLOOKUP(D123,Role_Mapping!$A$5:$D$31,2,FALSE()),"UNMAPPED")</f>
        <v>Solutions Enabler</v>
      </c>
      <c r="K123" s="14" t="str">
        <f aca="false">IFERROR(VLOOKUP(D123,Role_Mapping!$A$5:$D$31,3,FALSE()),"IN")</f>
        <v>IN</v>
      </c>
      <c r="L123" s="15" t="n">
        <f aca="false">IFERROR(SUMPRODUCT((Rate_Card!$A$5:$A$34=J123)*(Rate_Card!$B$5:$B$34=K123)*Rate_Card!$C$5:$C$34),0)</f>
        <v>683</v>
      </c>
      <c r="M123" s="10" t="n">
        <f aca="false">F123*5</f>
        <v>25</v>
      </c>
      <c r="N123" s="16" t="n">
        <f aca="false">L123*M123*H123</f>
        <v>17075</v>
      </c>
      <c r="O123" s="10" t="n">
        <f aca="false">(G123-E123)+1</f>
        <v>36</v>
      </c>
      <c r="P123" s="14" t="str">
        <f aca="false">IFERROR(VLOOKUP(D123,Role_Mapping!$A$5:$D$31,4,FALSE()),"UNMAPPED")</f>
        <v>Data Engineering</v>
      </c>
      <c r="Q123" s="16" t="n">
        <f aca="false">$N123*MAX(0,(MIN($G123,DATE(2026,7,31))-MAX($E123,DATE(2026,7,1))+1))/$O123</f>
        <v>9011.80555555556</v>
      </c>
      <c r="R123" s="16" t="n">
        <f aca="false">$N123*MAX(0,(MIN($G123,DATE(2026,8,31))-MAX($E123,DATE(2026,8,1))+1))/$O123</f>
        <v>8063.19444444444</v>
      </c>
      <c r="S123" s="16" t="n">
        <f aca="false">$N123*MAX(0,(MIN($G123,DATE(2026,9,30))-MAX($E123,DATE(2026,9,1))+1))/$O123</f>
        <v>0</v>
      </c>
      <c r="T123" s="16" t="n">
        <f aca="false">$N123*MAX(0,(MIN($G123,DATE(2026,10,31))-MAX($E123,DATE(2026,10,1))+1))/$O123</f>
        <v>0</v>
      </c>
      <c r="U123" s="16" t="n">
        <f aca="false">$N123*MAX(0,(MIN($G123,DATE(2026,11,30))-MAX($E123,DATE(2026,11,1))+1))/$O123</f>
        <v>0</v>
      </c>
      <c r="V123" s="16" t="n">
        <f aca="false">$N123*MAX(0,(MIN($G123,DATE(2026,12,31))-MAX($E123,DATE(2026,12,1))+1))/$O123</f>
        <v>0</v>
      </c>
      <c r="W123" s="17" t="n">
        <f aca="false">$H123*MAX(0,(MIN($G123,DATE(2026,7,31))-MAX($E123,DATE(2026,7,1))+1))/30.4</f>
        <v>0.625</v>
      </c>
      <c r="X123" s="17" t="n">
        <f aca="false">$H123*MAX(0,(MIN($G123,DATE(2026,8,31))-MAX($E123,DATE(2026,8,1))+1))/30.4</f>
        <v>0.55921052631579</v>
      </c>
      <c r="Y123" s="17" t="n">
        <f aca="false">$H123*MAX(0,(MIN($G123,DATE(2026,9,30))-MAX($E123,DATE(2026,9,1))+1))/30.4</f>
        <v>0</v>
      </c>
      <c r="Z123" s="17" t="n">
        <f aca="false">$H123*MAX(0,(MIN($G123,DATE(2026,10,31))-MAX($E123,DATE(2026,10,1))+1))/30.4</f>
        <v>0</v>
      </c>
      <c r="AA123" s="17" t="n">
        <f aca="false">$H123*MAX(0,(MIN($G123,DATE(2026,11,30))-MAX($E123,DATE(2026,11,1))+1))/30.4</f>
        <v>0</v>
      </c>
      <c r="AB123" s="17" t="n">
        <f aca="false">$H123*MAX(0,(MIN($G123,DATE(2026,12,31))-MAX($E123,DATE(2026,12,1))+1))/30.4</f>
        <v>0</v>
      </c>
    </row>
    <row r="124" customFormat="false" ht="15" hidden="false" customHeight="false" outlineLevel="0" collapsed="false">
      <c r="A124" s="10" t="n">
        <v>73</v>
      </c>
      <c r="B124" s="10" t="n">
        <v>3</v>
      </c>
      <c r="C124" s="10"/>
      <c r="D124" s="10" t="s">
        <v>75</v>
      </c>
      <c r="E124" s="12" t="n">
        <v>46216</v>
      </c>
      <c r="F124" s="10" t="n">
        <v>5</v>
      </c>
      <c r="G124" s="12" t="n">
        <v>46251</v>
      </c>
      <c r="H124" s="13" t="n">
        <v>1</v>
      </c>
      <c r="I124" s="10" t="s">
        <v>113</v>
      </c>
      <c r="J124" s="14" t="str">
        <f aca="false">IFERROR(VLOOKUP(D124,Role_Mapping!$A$5:$D$31,2,FALSE()),"UNMAPPED")</f>
        <v>Software Engineer</v>
      </c>
      <c r="K124" s="14" t="str">
        <f aca="false">IFERROR(VLOOKUP(D124,Role_Mapping!$A$5:$D$31,3,FALSE()),"IN")</f>
        <v>IN</v>
      </c>
      <c r="L124" s="15" t="n">
        <f aca="false">IFERROR(SUMPRODUCT((Rate_Card!$A$5:$A$34=J124)*(Rate_Card!$B$5:$B$34=K124)*Rate_Card!$C$5:$C$34),0)</f>
        <v>455</v>
      </c>
      <c r="M124" s="10" t="n">
        <f aca="false">F124*5</f>
        <v>25</v>
      </c>
      <c r="N124" s="16" t="n">
        <f aca="false">L124*M124*H124</f>
        <v>11375</v>
      </c>
      <c r="O124" s="10" t="n">
        <f aca="false">(G124-E124)+1</f>
        <v>36</v>
      </c>
      <c r="P124" s="14" t="str">
        <f aca="false">IFERROR(VLOOKUP(D124,Role_Mapping!$A$5:$D$31,4,FALSE()),"UNMAPPED")</f>
        <v>Full Stack</v>
      </c>
      <c r="Q124" s="16" t="n">
        <f aca="false">$N124*MAX(0,(MIN($G124,DATE(2026,7,31))-MAX($E124,DATE(2026,7,1))+1))/$O124</f>
        <v>6003.47222222222</v>
      </c>
      <c r="R124" s="16" t="n">
        <f aca="false">$N124*MAX(0,(MIN($G124,DATE(2026,8,31))-MAX($E124,DATE(2026,8,1))+1))/$O124</f>
        <v>5371.52777777778</v>
      </c>
      <c r="S124" s="16" t="n">
        <f aca="false">$N124*MAX(0,(MIN($G124,DATE(2026,9,30))-MAX($E124,DATE(2026,9,1))+1))/$O124</f>
        <v>0</v>
      </c>
      <c r="T124" s="16" t="n">
        <f aca="false">$N124*MAX(0,(MIN($G124,DATE(2026,10,31))-MAX($E124,DATE(2026,10,1))+1))/$O124</f>
        <v>0</v>
      </c>
      <c r="U124" s="16" t="n">
        <f aca="false">$N124*MAX(0,(MIN($G124,DATE(2026,11,30))-MAX($E124,DATE(2026,11,1))+1))/$O124</f>
        <v>0</v>
      </c>
      <c r="V124" s="16" t="n">
        <f aca="false">$N124*MAX(0,(MIN($G124,DATE(2026,12,31))-MAX($E124,DATE(2026,12,1))+1))/$O124</f>
        <v>0</v>
      </c>
      <c r="W124" s="17" t="n">
        <f aca="false">$H124*MAX(0,(MIN($G124,DATE(2026,7,31))-MAX($E124,DATE(2026,7,1))+1))/30.4</f>
        <v>0.625</v>
      </c>
      <c r="X124" s="17" t="n">
        <f aca="false">$H124*MAX(0,(MIN($G124,DATE(2026,8,31))-MAX($E124,DATE(2026,8,1))+1))/30.4</f>
        <v>0.55921052631579</v>
      </c>
      <c r="Y124" s="17" t="n">
        <f aca="false">$H124*MAX(0,(MIN($G124,DATE(2026,9,30))-MAX($E124,DATE(2026,9,1))+1))/30.4</f>
        <v>0</v>
      </c>
      <c r="Z124" s="17" t="n">
        <f aca="false">$H124*MAX(0,(MIN($G124,DATE(2026,10,31))-MAX($E124,DATE(2026,10,1))+1))/30.4</f>
        <v>0</v>
      </c>
      <c r="AA124" s="17" t="n">
        <f aca="false">$H124*MAX(0,(MIN($G124,DATE(2026,11,30))-MAX($E124,DATE(2026,11,1))+1))/30.4</f>
        <v>0</v>
      </c>
      <c r="AB124" s="17" t="n">
        <f aca="false">$H124*MAX(0,(MIN($G124,DATE(2026,12,31))-MAX($E124,DATE(2026,12,1))+1))/30.4</f>
        <v>0</v>
      </c>
    </row>
    <row r="125" customFormat="false" ht="15" hidden="false" customHeight="false" outlineLevel="0" collapsed="false">
      <c r="A125" s="10" t="n">
        <v>74</v>
      </c>
      <c r="B125" s="10" t="n">
        <v>3</v>
      </c>
      <c r="C125" s="10"/>
      <c r="D125" s="10" t="s">
        <v>75</v>
      </c>
      <c r="E125" s="12" t="n">
        <v>46216</v>
      </c>
      <c r="F125" s="10" t="n">
        <v>5</v>
      </c>
      <c r="G125" s="12" t="n">
        <v>46251</v>
      </c>
      <c r="H125" s="13" t="n">
        <v>1</v>
      </c>
      <c r="I125" s="10" t="s">
        <v>113</v>
      </c>
      <c r="J125" s="14" t="str">
        <f aca="false">IFERROR(VLOOKUP(D125,Role_Mapping!$A$5:$D$31,2,FALSE()),"UNMAPPED")</f>
        <v>Software Engineer</v>
      </c>
      <c r="K125" s="14" t="str">
        <f aca="false">IFERROR(VLOOKUP(D125,Role_Mapping!$A$5:$D$31,3,FALSE()),"IN")</f>
        <v>IN</v>
      </c>
      <c r="L125" s="15" t="n">
        <f aca="false">IFERROR(SUMPRODUCT((Rate_Card!$A$5:$A$34=J125)*(Rate_Card!$B$5:$B$34=K125)*Rate_Card!$C$5:$C$34),0)</f>
        <v>455</v>
      </c>
      <c r="M125" s="10" t="n">
        <f aca="false">F125*5</f>
        <v>25</v>
      </c>
      <c r="N125" s="16" t="n">
        <f aca="false">L125*M125*H125</f>
        <v>11375</v>
      </c>
      <c r="O125" s="10" t="n">
        <f aca="false">(G125-E125)+1</f>
        <v>36</v>
      </c>
      <c r="P125" s="14" t="str">
        <f aca="false">IFERROR(VLOOKUP(D125,Role_Mapping!$A$5:$D$31,4,FALSE()),"UNMAPPED")</f>
        <v>Full Stack</v>
      </c>
      <c r="Q125" s="16" t="n">
        <f aca="false">$N125*MAX(0,(MIN($G125,DATE(2026,7,31))-MAX($E125,DATE(2026,7,1))+1))/$O125</f>
        <v>6003.47222222222</v>
      </c>
      <c r="R125" s="16" t="n">
        <f aca="false">$N125*MAX(0,(MIN($G125,DATE(2026,8,31))-MAX($E125,DATE(2026,8,1))+1))/$O125</f>
        <v>5371.52777777778</v>
      </c>
      <c r="S125" s="16" t="n">
        <f aca="false">$N125*MAX(0,(MIN($G125,DATE(2026,9,30))-MAX($E125,DATE(2026,9,1))+1))/$O125</f>
        <v>0</v>
      </c>
      <c r="T125" s="16" t="n">
        <f aca="false">$N125*MAX(0,(MIN($G125,DATE(2026,10,31))-MAX($E125,DATE(2026,10,1))+1))/$O125</f>
        <v>0</v>
      </c>
      <c r="U125" s="16" t="n">
        <f aca="false">$N125*MAX(0,(MIN($G125,DATE(2026,11,30))-MAX($E125,DATE(2026,11,1))+1))/$O125</f>
        <v>0</v>
      </c>
      <c r="V125" s="16" t="n">
        <f aca="false">$N125*MAX(0,(MIN($G125,DATE(2026,12,31))-MAX($E125,DATE(2026,12,1))+1))/$O125</f>
        <v>0</v>
      </c>
      <c r="W125" s="17" t="n">
        <f aca="false">$H125*MAX(0,(MIN($G125,DATE(2026,7,31))-MAX($E125,DATE(2026,7,1))+1))/30.4</f>
        <v>0.625</v>
      </c>
      <c r="X125" s="17" t="n">
        <f aca="false">$H125*MAX(0,(MIN($G125,DATE(2026,8,31))-MAX($E125,DATE(2026,8,1))+1))/30.4</f>
        <v>0.55921052631579</v>
      </c>
      <c r="Y125" s="17" t="n">
        <f aca="false">$H125*MAX(0,(MIN($G125,DATE(2026,9,30))-MAX($E125,DATE(2026,9,1))+1))/30.4</f>
        <v>0</v>
      </c>
      <c r="Z125" s="17" t="n">
        <f aca="false">$H125*MAX(0,(MIN($G125,DATE(2026,10,31))-MAX($E125,DATE(2026,10,1))+1))/30.4</f>
        <v>0</v>
      </c>
      <c r="AA125" s="17" t="n">
        <f aca="false">$H125*MAX(0,(MIN($G125,DATE(2026,11,30))-MAX($E125,DATE(2026,11,1))+1))/30.4</f>
        <v>0</v>
      </c>
      <c r="AB125" s="17" t="n">
        <f aca="false">$H125*MAX(0,(MIN($G125,DATE(2026,12,31))-MAX($E125,DATE(2026,12,1))+1))/30.4</f>
        <v>0</v>
      </c>
    </row>
    <row r="126" customFormat="false" ht="15" hidden="false" customHeight="false" outlineLevel="0" collapsed="false">
      <c r="A126" s="10" t="n">
        <v>75</v>
      </c>
      <c r="B126" s="10" t="n">
        <v>3</v>
      </c>
      <c r="C126" s="10"/>
      <c r="D126" s="10" t="s">
        <v>75</v>
      </c>
      <c r="E126" s="12" t="n">
        <v>46216</v>
      </c>
      <c r="F126" s="10" t="n">
        <v>5</v>
      </c>
      <c r="G126" s="12" t="n">
        <v>46251</v>
      </c>
      <c r="H126" s="13" t="n">
        <v>1</v>
      </c>
      <c r="I126" s="10" t="s">
        <v>113</v>
      </c>
      <c r="J126" s="14" t="str">
        <f aca="false">IFERROR(VLOOKUP(D126,Role_Mapping!$A$5:$D$31,2,FALSE()),"UNMAPPED")</f>
        <v>Software Engineer</v>
      </c>
      <c r="K126" s="14" t="str">
        <f aca="false">IFERROR(VLOOKUP(D126,Role_Mapping!$A$5:$D$31,3,FALSE()),"IN")</f>
        <v>IN</v>
      </c>
      <c r="L126" s="15" t="n">
        <f aca="false">IFERROR(SUMPRODUCT((Rate_Card!$A$5:$A$34=J126)*(Rate_Card!$B$5:$B$34=K126)*Rate_Card!$C$5:$C$34),0)</f>
        <v>455</v>
      </c>
      <c r="M126" s="10" t="n">
        <f aca="false">F126*5</f>
        <v>25</v>
      </c>
      <c r="N126" s="16" t="n">
        <f aca="false">L126*M126*H126</f>
        <v>11375</v>
      </c>
      <c r="O126" s="10" t="n">
        <f aca="false">(G126-E126)+1</f>
        <v>36</v>
      </c>
      <c r="P126" s="14" t="str">
        <f aca="false">IFERROR(VLOOKUP(D126,Role_Mapping!$A$5:$D$31,4,FALSE()),"UNMAPPED")</f>
        <v>Full Stack</v>
      </c>
      <c r="Q126" s="16" t="n">
        <f aca="false">$N126*MAX(0,(MIN($G126,DATE(2026,7,31))-MAX($E126,DATE(2026,7,1))+1))/$O126</f>
        <v>6003.47222222222</v>
      </c>
      <c r="R126" s="16" t="n">
        <f aca="false">$N126*MAX(0,(MIN($G126,DATE(2026,8,31))-MAX($E126,DATE(2026,8,1))+1))/$O126</f>
        <v>5371.52777777778</v>
      </c>
      <c r="S126" s="16" t="n">
        <f aca="false">$N126*MAX(0,(MIN($G126,DATE(2026,9,30))-MAX($E126,DATE(2026,9,1))+1))/$O126</f>
        <v>0</v>
      </c>
      <c r="T126" s="16" t="n">
        <f aca="false">$N126*MAX(0,(MIN($G126,DATE(2026,10,31))-MAX($E126,DATE(2026,10,1))+1))/$O126</f>
        <v>0</v>
      </c>
      <c r="U126" s="16" t="n">
        <f aca="false">$N126*MAX(0,(MIN($G126,DATE(2026,11,30))-MAX($E126,DATE(2026,11,1))+1))/$O126</f>
        <v>0</v>
      </c>
      <c r="V126" s="16" t="n">
        <f aca="false">$N126*MAX(0,(MIN($G126,DATE(2026,12,31))-MAX($E126,DATE(2026,12,1))+1))/$O126</f>
        <v>0</v>
      </c>
      <c r="W126" s="17" t="n">
        <f aca="false">$H126*MAX(0,(MIN($G126,DATE(2026,7,31))-MAX($E126,DATE(2026,7,1))+1))/30.4</f>
        <v>0.625</v>
      </c>
      <c r="X126" s="17" t="n">
        <f aca="false">$H126*MAX(0,(MIN($G126,DATE(2026,8,31))-MAX($E126,DATE(2026,8,1))+1))/30.4</f>
        <v>0.55921052631579</v>
      </c>
      <c r="Y126" s="17" t="n">
        <f aca="false">$H126*MAX(0,(MIN($G126,DATE(2026,9,30))-MAX($E126,DATE(2026,9,1))+1))/30.4</f>
        <v>0</v>
      </c>
      <c r="Z126" s="17" t="n">
        <f aca="false">$H126*MAX(0,(MIN($G126,DATE(2026,10,31))-MAX($E126,DATE(2026,10,1))+1))/30.4</f>
        <v>0</v>
      </c>
      <c r="AA126" s="17" t="n">
        <f aca="false">$H126*MAX(0,(MIN($G126,DATE(2026,11,30))-MAX($E126,DATE(2026,11,1))+1))/30.4</f>
        <v>0</v>
      </c>
      <c r="AB126" s="17" t="n">
        <f aca="false">$H126*MAX(0,(MIN($G126,DATE(2026,12,31))-MAX($E126,DATE(2026,12,1))+1))/30.4</f>
        <v>0</v>
      </c>
    </row>
    <row r="127" customFormat="false" ht="15" hidden="false" customHeight="false" outlineLevel="0" collapsed="false">
      <c r="A127" s="10" t="n">
        <v>76</v>
      </c>
      <c r="B127" s="10" t="n">
        <v>3</v>
      </c>
      <c r="C127" s="10" t="s">
        <v>139</v>
      </c>
      <c r="D127" s="10" t="s">
        <v>62</v>
      </c>
      <c r="E127" s="12" t="n">
        <v>46195</v>
      </c>
      <c r="F127" s="10" t="n">
        <v>5</v>
      </c>
      <c r="G127" s="12" t="n">
        <v>46230</v>
      </c>
      <c r="H127" s="13" t="n">
        <v>0.125</v>
      </c>
      <c r="I127" s="10" t="s">
        <v>126</v>
      </c>
      <c r="J127" s="14" t="str">
        <f aca="false">IFERROR(VLOOKUP(D127,Role_Mapping!$A$5:$D$31,2,FALSE()),"UNMAPPED")</f>
        <v>Associate Partner</v>
      </c>
      <c r="K127" s="14" t="str">
        <f aca="false">IFERROR(VLOOKUP(D127,Role_Mapping!$A$5:$D$31,3,FALSE()),"IN")</f>
        <v>UK</v>
      </c>
      <c r="L127" s="15" t="n">
        <f aca="false">IFERROR(SUMPRODUCT((Rate_Card!$A$5:$A$34=J127)*(Rate_Card!$B$5:$B$34=K127)*Rate_Card!$C$5:$C$34),0)</f>
        <v>3526</v>
      </c>
      <c r="M127" s="10" t="n">
        <f aca="false">F127*5</f>
        <v>25</v>
      </c>
      <c r="N127" s="16" t="n">
        <f aca="false">L127*M127*H127</f>
        <v>11018.75</v>
      </c>
      <c r="O127" s="10" t="n">
        <f aca="false">(G127-E127)+1</f>
        <v>36</v>
      </c>
      <c r="P127" s="14" t="str">
        <f aca="false">IFERROR(VLOOKUP(D127,Role_Mapping!$A$5:$D$31,4,FALSE()),"UNMAPPED")</f>
        <v>GTM</v>
      </c>
      <c r="Q127" s="16" t="n">
        <f aca="false">$N127*MAX(0,(MIN($G127,DATE(2026,7,31))-MAX($E127,DATE(2026,7,1))+1))/$O127</f>
        <v>8264.0625</v>
      </c>
      <c r="R127" s="16" t="n">
        <f aca="false">$N127*MAX(0,(MIN($G127,DATE(2026,8,31))-MAX($E127,DATE(2026,8,1))+1))/$O127</f>
        <v>0</v>
      </c>
      <c r="S127" s="16" t="n">
        <f aca="false">$N127*MAX(0,(MIN($G127,DATE(2026,9,30))-MAX($E127,DATE(2026,9,1))+1))/$O127</f>
        <v>0</v>
      </c>
      <c r="T127" s="16" t="n">
        <f aca="false">$N127*MAX(0,(MIN($G127,DATE(2026,10,31))-MAX($E127,DATE(2026,10,1))+1))/$O127</f>
        <v>0</v>
      </c>
      <c r="U127" s="16" t="n">
        <f aca="false">$N127*MAX(0,(MIN($G127,DATE(2026,11,30))-MAX($E127,DATE(2026,11,1))+1))/$O127</f>
        <v>0</v>
      </c>
      <c r="V127" s="16" t="n">
        <f aca="false">$N127*MAX(0,(MIN($G127,DATE(2026,12,31))-MAX($E127,DATE(2026,12,1))+1))/$O127</f>
        <v>0</v>
      </c>
      <c r="W127" s="17" t="n">
        <f aca="false">$H127*MAX(0,(MIN($G127,DATE(2026,7,31))-MAX($E127,DATE(2026,7,1))+1))/30.4</f>
        <v>0.111019736842105</v>
      </c>
      <c r="X127" s="17" t="n">
        <f aca="false">$H127*MAX(0,(MIN($G127,DATE(2026,8,31))-MAX($E127,DATE(2026,8,1))+1))/30.4</f>
        <v>0</v>
      </c>
      <c r="Y127" s="17" t="n">
        <f aca="false">$H127*MAX(0,(MIN($G127,DATE(2026,9,30))-MAX($E127,DATE(2026,9,1))+1))/30.4</f>
        <v>0</v>
      </c>
      <c r="Z127" s="17" t="n">
        <f aca="false">$H127*MAX(0,(MIN($G127,DATE(2026,10,31))-MAX($E127,DATE(2026,10,1))+1))/30.4</f>
        <v>0</v>
      </c>
      <c r="AA127" s="17" t="n">
        <f aca="false">$H127*MAX(0,(MIN($G127,DATE(2026,11,30))-MAX($E127,DATE(2026,11,1))+1))/30.4</f>
        <v>0</v>
      </c>
      <c r="AB127" s="17" t="n">
        <f aca="false">$H127*MAX(0,(MIN($G127,DATE(2026,12,31))-MAX($E127,DATE(2026,12,1))+1))/30.4</f>
        <v>0</v>
      </c>
    </row>
    <row r="128" customFormat="false" ht="15" hidden="false" customHeight="false" outlineLevel="0" collapsed="false">
      <c r="A128" s="10" t="n">
        <v>77</v>
      </c>
      <c r="B128" s="10" t="n">
        <v>3</v>
      </c>
      <c r="C128" s="10"/>
      <c r="D128" s="10" t="s">
        <v>61</v>
      </c>
      <c r="E128" s="12" t="n">
        <v>46195</v>
      </c>
      <c r="F128" s="10" t="n">
        <v>5</v>
      </c>
      <c r="G128" s="12" t="n">
        <v>46230</v>
      </c>
      <c r="H128" s="13" t="n">
        <v>0.5</v>
      </c>
      <c r="I128" s="10" t="s">
        <v>126</v>
      </c>
      <c r="J128" s="14" t="str">
        <f aca="false">IFERROR(VLOOKUP(D128,Role_Mapping!$A$5:$D$31,2,FALSE()),"UNMAPPED")</f>
        <v>Manager</v>
      </c>
      <c r="K128" s="14" t="str">
        <f aca="false">IFERROR(VLOOKUP(D128,Role_Mapping!$A$5:$D$31,3,FALSE()),"IN")</f>
        <v>UK</v>
      </c>
      <c r="L128" s="15" t="n">
        <f aca="false">IFERROR(SUMPRODUCT((Rate_Card!$A$5:$A$34=J128)*(Rate_Card!$B$5:$B$34=K128)*Rate_Card!$C$5:$C$34),0)</f>
        <v>2984</v>
      </c>
      <c r="M128" s="10" t="n">
        <f aca="false">F128*5</f>
        <v>25</v>
      </c>
      <c r="N128" s="16" t="n">
        <f aca="false">L128*M128*H128</f>
        <v>37300</v>
      </c>
      <c r="O128" s="10" t="n">
        <f aca="false">(G128-E128)+1</f>
        <v>36</v>
      </c>
      <c r="P128" s="14" t="str">
        <f aca="false">IFERROR(VLOOKUP(D128,Role_Mapping!$A$5:$D$31,4,FALSE()),"UNMAPPED")</f>
        <v>Consulting</v>
      </c>
      <c r="Q128" s="16" t="n">
        <f aca="false">$N128*MAX(0,(MIN($G128,DATE(2026,7,31))-MAX($E128,DATE(2026,7,1))+1))/$O128</f>
        <v>27975</v>
      </c>
      <c r="R128" s="16" t="n">
        <f aca="false">$N128*MAX(0,(MIN($G128,DATE(2026,8,31))-MAX($E128,DATE(2026,8,1))+1))/$O128</f>
        <v>0</v>
      </c>
      <c r="S128" s="16" t="n">
        <f aca="false">$N128*MAX(0,(MIN($G128,DATE(2026,9,30))-MAX($E128,DATE(2026,9,1))+1))/$O128</f>
        <v>0</v>
      </c>
      <c r="T128" s="16" t="n">
        <f aca="false">$N128*MAX(0,(MIN($G128,DATE(2026,10,31))-MAX($E128,DATE(2026,10,1))+1))/$O128</f>
        <v>0</v>
      </c>
      <c r="U128" s="16" t="n">
        <f aca="false">$N128*MAX(0,(MIN($G128,DATE(2026,11,30))-MAX($E128,DATE(2026,11,1))+1))/$O128</f>
        <v>0</v>
      </c>
      <c r="V128" s="16" t="n">
        <f aca="false">$N128*MAX(0,(MIN($G128,DATE(2026,12,31))-MAX($E128,DATE(2026,12,1))+1))/$O128</f>
        <v>0</v>
      </c>
      <c r="W128" s="17" t="n">
        <f aca="false">$H128*MAX(0,(MIN($G128,DATE(2026,7,31))-MAX($E128,DATE(2026,7,1))+1))/30.4</f>
        <v>0.444078947368421</v>
      </c>
      <c r="X128" s="17" t="n">
        <f aca="false">$H128*MAX(0,(MIN($G128,DATE(2026,8,31))-MAX($E128,DATE(2026,8,1))+1))/30.4</f>
        <v>0</v>
      </c>
      <c r="Y128" s="17" t="n">
        <f aca="false">$H128*MAX(0,(MIN($G128,DATE(2026,9,30))-MAX($E128,DATE(2026,9,1))+1))/30.4</f>
        <v>0</v>
      </c>
      <c r="Z128" s="17" t="n">
        <f aca="false">$H128*MAX(0,(MIN($G128,DATE(2026,10,31))-MAX($E128,DATE(2026,10,1))+1))/30.4</f>
        <v>0</v>
      </c>
      <c r="AA128" s="17" t="n">
        <f aca="false">$H128*MAX(0,(MIN($G128,DATE(2026,11,30))-MAX($E128,DATE(2026,11,1))+1))/30.4</f>
        <v>0</v>
      </c>
      <c r="AB128" s="17" t="n">
        <f aca="false">$H128*MAX(0,(MIN($G128,DATE(2026,12,31))-MAX($E128,DATE(2026,12,1))+1))/30.4</f>
        <v>0</v>
      </c>
    </row>
    <row r="129" customFormat="false" ht="15" hidden="false" customHeight="false" outlineLevel="0" collapsed="false">
      <c r="A129" s="10" t="n">
        <v>78</v>
      </c>
      <c r="B129" s="10" t="n">
        <v>3</v>
      </c>
      <c r="C129" s="10"/>
      <c r="D129" s="10" t="s">
        <v>45</v>
      </c>
      <c r="E129" s="12" t="n">
        <v>46195</v>
      </c>
      <c r="F129" s="10" t="n">
        <v>5</v>
      </c>
      <c r="G129" s="12" t="n">
        <v>46230</v>
      </c>
      <c r="H129" s="13" t="n">
        <v>1</v>
      </c>
      <c r="I129" s="10" t="s">
        <v>126</v>
      </c>
      <c r="J129" s="14" t="str">
        <f aca="false">IFERROR(VLOOKUP(D129,Role_Mapping!$A$5:$D$31,2,FALSE()),"UNMAPPED")</f>
        <v>Associate Consultant</v>
      </c>
      <c r="K129" s="14" t="str">
        <f aca="false">IFERROR(VLOOKUP(D129,Role_Mapping!$A$5:$D$31,3,FALSE()),"IN")</f>
        <v>IN</v>
      </c>
      <c r="L129" s="15" t="n">
        <f aca="false">IFERROR(SUMPRODUCT((Rate_Card!$A$5:$A$34=J129)*(Rate_Card!$B$5:$B$34=K129)*Rate_Card!$C$5:$C$34),0)</f>
        <v>585</v>
      </c>
      <c r="M129" s="10" t="n">
        <f aca="false">F129*5</f>
        <v>25</v>
      </c>
      <c r="N129" s="16" t="n">
        <f aca="false">L129*M129*H129</f>
        <v>14625</v>
      </c>
      <c r="O129" s="10" t="n">
        <f aca="false">(G129-E129)+1</f>
        <v>36</v>
      </c>
      <c r="P129" s="14" t="str">
        <f aca="false">IFERROR(VLOOKUP(D129,Role_Mapping!$A$5:$D$31,4,FALSE()),"UNMAPPED")</f>
        <v>Consulting</v>
      </c>
      <c r="Q129" s="16" t="n">
        <f aca="false">$N129*MAX(0,(MIN($G129,DATE(2026,7,31))-MAX($E129,DATE(2026,7,1))+1))/$O129</f>
        <v>10968.75</v>
      </c>
      <c r="R129" s="16" t="n">
        <f aca="false">$N129*MAX(0,(MIN($G129,DATE(2026,8,31))-MAX($E129,DATE(2026,8,1))+1))/$O129</f>
        <v>0</v>
      </c>
      <c r="S129" s="16" t="n">
        <f aca="false">$N129*MAX(0,(MIN($G129,DATE(2026,9,30))-MAX($E129,DATE(2026,9,1))+1))/$O129</f>
        <v>0</v>
      </c>
      <c r="T129" s="16" t="n">
        <f aca="false">$N129*MAX(0,(MIN($G129,DATE(2026,10,31))-MAX($E129,DATE(2026,10,1))+1))/$O129</f>
        <v>0</v>
      </c>
      <c r="U129" s="16" t="n">
        <f aca="false">$N129*MAX(0,(MIN($G129,DATE(2026,11,30))-MAX($E129,DATE(2026,11,1))+1))/$O129</f>
        <v>0</v>
      </c>
      <c r="V129" s="16" t="n">
        <f aca="false">$N129*MAX(0,(MIN($G129,DATE(2026,12,31))-MAX($E129,DATE(2026,12,1))+1))/$O129</f>
        <v>0</v>
      </c>
      <c r="W129" s="17" t="n">
        <f aca="false">$H129*MAX(0,(MIN($G129,DATE(2026,7,31))-MAX($E129,DATE(2026,7,1))+1))/30.4</f>
        <v>0.888157894736842</v>
      </c>
      <c r="X129" s="17" t="n">
        <f aca="false">$H129*MAX(0,(MIN($G129,DATE(2026,8,31))-MAX($E129,DATE(2026,8,1))+1))/30.4</f>
        <v>0</v>
      </c>
      <c r="Y129" s="17" t="n">
        <f aca="false">$H129*MAX(0,(MIN($G129,DATE(2026,9,30))-MAX($E129,DATE(2026,9,1))+1))/30.4</f>
        <v>0</v>
      </c>
      <c r="Z129" s="17" t="n">
        <f aca="false">$H129*MAX(0,(MIN($G129,DATE(2026,10,31))-MAX($E129,DATE(2026,10,1))+1))/30.4</f>
        <v>0</v>
      </c>
      <c r="AA129" s="17" t="n">
        <f aca="false">$H129*MAX(0,(MIN($G129,DATE(2026,11,30))-MAX($E129,DATE(2026,11,1))+1))/30.4</f>
        <v>0</v>
      </c>
      <c r="AB129" s="17" t="n">
        <f aca="false">$H129*MAX(0,(MIN($G129,DATE(2026,12,31))-MAX($E129,DATE(2026,12,1))+1))/30.4</f>
        <v>0</v>
      </c>
    </row>
    <row r="130" customFormat="false" ht="15" hidden="false" customHeight="false" outlineLevel="0" collapsed="false">
      <c r="A130" s="10" t="n">
        <v>79</v>
      </c>
      <c r="B130" s="10" t="n">
        <v>3</v>
      </c>
      <c r="C130" s="10"/>
      <c r="D130" s="10" t="s">
        <v>80</v>
      </c>
      <c r="E130" s="12" t="n">
        <v>46195</v>
      </c>
      <c r="F130" s="10" t="n">
        <v>5</v>
      </c>
      <c r="G130" s="12" t="n">
        <v>46230</v>
      </c>
      <c r="H130" s="13" t="n">
        <v>1</v>
      </c>
      <c r="I130" s="10" t="s">
        <v>126</v>
      </c>
      <c r="J130" s="14" t="str">
        <f aca="false">IFERROR(VLOOKUP(D130,Role_Mapping!$A$5:$D$31,2,FALSE()),"UNMAPPED")</f>
        <v>Solutions Consultant</v>
      </c>
      <c r="K130" s="14" t="str">
        <f aca="false">IFERROR(VLOOKUP(D130,Role_Mapping!$A$5:$D$31,3,FALSE()),"IN")</f>
        <v>IN</v>
      </c>
      <c r="L130" s="15" t="n">
        <f aca="false">IFERROR(SUMPRODUCT((Rate_Card!$A$5:$A$34=J130)*(Rate_Card!$B$5:$B$34=K130)*Rate_Card!$C$5:$C$34),0)</f>
        <v>683</v>
      </c>
      <c r="M130" s="10" t="n">
        <f aca="false">F130*5</f>
        <v>25</v>
      </c>
      <c r="N130" s="16" t="n">
        <f aca="false">L130*M130*H130</f>
        <v>17075</v>
      </c>
      <c r="O130" s="10" t="n">
        <f aca="false">(G130-E130)+1</f>
        <v>36</v>
      </c>
      <c r="P130" s="14" t="str">
        <f aca="false">IFERROR(VLOOKUP(D130,Role_Mapping!$A$5:$D$31,4,FALSE()),"UNMAPPED")</f>
        <v>Power BI &amp; Consulting</v>
      </c>
      <c r="Q130" s="16" t="n">
        <f aca="false">$N130*MAX(0,(MIN($G130,DATE(2026,7,31))-MAX($E130,DATE(2026,7,1))+1))/$O130</f>
        <v>12806.25</v>
      </c>
      <c r="R130" s="16" t="n">
        <f aca="false">$N130*MAX(0,(MIN($G130,DATE(2026,8,31))-MAX($E130,DATE(2026,8,1))+1))/$O130</f>
        <v>0</v>
      </c>
      <c r="S130" s="16" t="n">
        <f aca="false">$N130*MAX(0,(MIN($G130,DATE(2026,9,30))-MAX($E130,DATE(2026,9,1))+1))/$O130</f>
        <v>0</v>
      </c>
      <c r="T130" s="16" t="n">
        <f aca="false">$N130*MAX(0,(MIN($G130,DATE(2026,10,31))-MAX($E130,DATE(2026,10,1))+1))/$O130</f>
        <v>0</v>
      </c>
      <c r="U130" s="16" t="n">
        <f aca="false">$N130*MAX(0,(MIN($G130,DATE(2026,11,30))-MAX($E130,DATE(2026,11,1))+1))/$O130</f>
        <v>0</v>
      </c>
      <c r="V130" s="16" t="n">
        <f aca="false">$N130*MAX(0,(MIN($G130,DATE(2026,12,31))-MAX($E130,DATE(2026,12,1))+1))/$O130</f>
        <v>0</v>
      </c>
      <c r="W130" s="17" t="n">
        <f aca="false">$H130*MAX(0,(MIN($G130,DATE(2026,7,31))-MAX($E130,DATE(2026,7,1))+1))/30.4</f>
        <v>0.888157894736842</v>
      </c>
      <c r="X130" s="17" t="n">
        <f aca="false">$H130*MAX(0,(MIN($G130,DATE(2026,8,31))-MAX($E130,DATE(2026,8,1))+1))/30.4</f>
        <v>0</v>
      </c>
      <c r="Y130" s="17" t="n">
        <f aca="false">$H130*MAX(0,(MIN($G130,DATE(2026,9,30))-MAX($E130,DATE(2026,9,1))+1))/30.4</f>
        <v>0</v>
      </c>
      <c r="Z130" s="17" t="n">
        <f aca="false">$H130*MAX(0,(MIN($G130,DATE(2026,10,31))-MAX($E130,DATE(2026,10,1))+1))/30.4</f>
        <v>0</v>
      </c>
      <c r="AA130" s="17" t="n">
        <f aca="false">$H130*MAX(0,(MIN($G130,DATE(2026,11,30))-MAX($E130,DATE(2026,11,1))+1))/30.4</f>
        <v>0</v>
      </c>
      <c r="AB130" s="17" t="n">
        <f aca="false">$H130*MAX(0,(MIN($G130,DATE(2026,12,31))-MAX($E130,DATE(2026,12,1))+1))/30.4</f>
        <v>0</v>
      </c>
    </row>
    <row r="131" customFormat="false" ht="15" hidden="false" customHeight="false" outlineLevel="0" collapsed="false">
      <c r="A131" s="10" t="n">
        <v>80</v>
      </c>
      <c r="B131" s="10" t="n">
        <v>3</v>
      </c>
      <c r="C131" s="10"/>
      <c r="D131" s="10" t="s">
        <v>58</v>
      </c>
      <c r="E131" s="12" t="n">
        <v>46195</v>
      </c>
      <c r="F131" s="10" t="n">
        <v>5</v>
      </c>
      <c r="G131" s="12" t="n">
        <v>46230</v>
      </c>
      <c r="H131" s="13" t="n">
        <v>1</v>
      </c>
      <c r="I131" s="10" t="s">
        <v>126</v>
      </c>
      <c r="J131" s="14" t="str">
        <f aca="false">IFERROR(VLOOKUP(D131,Role_Mapping!$A$5:$D$31,2,FALSE()),"UNMAPPED")</f>
        <v>Solutions Enabler</v>
      </c>
      <c r="K131" s="14" t="str">
        <f aca="false">IFERROR(VLOOKUP(D131,Role_Mapping!$A$5:$D$31,3,FALSE()),"IN")</f>
        <v>IN</v>
      </c>
      <c r="L131" s="15" t="n">
        <f aca="false">IFERROR(SUMPRODUCT((Rate_Card!$A$5:$A$34=J131)*(Rate_Card!$B$5:$B$34=K131)*Rate_Card!$C$5:$C$34),0)</f>
        <v>683</v>
      </c>
      <c r="M131" s="10" t="n">
        <f aca="false">F131*5</f>
        <v>25</v>
      </c>
      <c r="N131" s="16" t="n">
        <f aca="false">L131*M131*H131</f>
        <v>17075</v>
      </c>
      <c r="O131" s="10" t="n">
        <f aca="false">(G131-E131)+1</f>
        <v>36</v>
      </c>
      <c r="P131" s="14" t="str">
        <f aca="false">IFERROR(VLOOKUP(D131,Role_Mapping!$A$5:$D$31,4,FALSE()),"UNMAPPED")</f>
        <v>Data Engineering</v>
      </c>
      <c r="Q131" s="16" t="n">
        <f aca="false">$N131*MAX(0,(MIN($G131,DATE(2026,7,31))-MAX($E131,DATE(2026,7,1))+1))/$O131</f>
        <v>12806.25</v>
      </c>
      <c r="R131" s="16" t="n">
        <f aca="false">$N131*MAX(0,(MIN($G131,DATE(2026,8,31))-MAX($E131,DATE(2026,8,1))+1))/$O131</f>
        <v>0</v>
      </c>
      <c r="S131" s="16" t="n">
        <f aca="false">$N131*MAX(0,(MIN($G131,DATE(2026,9,30))-MAX($E131,DATE(2026,9,1))+1))/$O131</f>
        <v>0</v>
      </c>
      <c r="T131" s="16" t="n">
        <f aca="false">$N131*MAX(0,(MIN($G131,DATE(2026,10,31))-MAX($E131,DATE(2026,10,1))+1))/$O131</f>
        <v>0</v>
      </c>
      <c r="U131" s="16" t="n">
        <f aca="false">$N131*MAX(0,(MIN($G131,DATE(2026,11,30))-MAX($E131,DATE(2026,11,1))+1))/$O131</f>
        <v>0</v>
      </c>
      <c r="V131" s="16" t="n">
        <f aca="false">$N131*MAX(0,(MIN($G131,DATE(2026,12,31))-MAX($E131,DATE(2026,12,1))+1))/$O131</f>
        <v>0</v>
      </c>
      <c r="W131" s="17" t="n">
        <f aca="false">$H131*MAX(0,(MIN($G131,DATE(2026,7,31))-MAX($E131,DATE(2026,7,1))+1))/30.4</f>
        <v>0.888157894736842</v>
      </c>
      <c r="X131" s="17" t="n">
        <f aca="false">$H131*MAX(0,(MIN($G131,DATE(2026,8,31))-MAX($E131,DATE(2026,8,1))+1))/30.4</f>
        <v>0</v>
      </c>
      <c r="Y131" s="17" t="n">
        <f aca="false">$H131*MAX(0,(MIN($G131,DATE(2026,9,30))-MAX($E131,DATE(2026,9,1))+1))/30.4</f>
        <v>0</v>
      </c>
      <c r="Z131" s="17" t="n">
        <f aca="false">$H131*MAX(0,(MIN($G131,DATE(2026,10,31))-MAX($E131,DATE(2026,10,1))+1))/30.4</f>
        <v>0</v>
      </c>
      <c r="AA131" s="17" t="n">
        <f aca="false">$H131*MAX(0,(MIN($G131,DATE(2026,11,30))-MAX($E131,DATE(2026,11,1))+1))/30.4</f>
        <v>0</v>
      </c>
      <c r="AB131" s="17" t="n">
        <f aca="false">$H131*MAX(0,(MIN($G131,DATE(2026,12,31))-MAX($E131,DATE(2026,12,1))+1))/30.4</f>
        <v>0</v>
      </c>
    </row>
    <row r="132" customFormat="false" ht="15" hidden="false" customHeight="false" outlineLevel="0" collapsed="false">
      <c r="A132" s="10" t="n">
        <v>81</v>
      </c>
      <c r="B132" s="10" t="n">
        <v>3</v>
      </c>
      <c r="C132" s="10"/>
      <c r="D132" s="10" t="s">
        <v>76</v>
      </c>
      <c r="E132" s="12" t="n">
        <v>46195</v>
      </c>
      <c r="F132" s="10" t="n">
        <v>5</v>
      </c>
      <c r="G132" s="12" t="n">
        <v>46230</v>
      </c>
      <c r="H132" s="13" t="n">
        <v>1</v>
      </c>
      <c r="I132" s="10" t="s">
        <v>126</v>
      </c>
      <c r="J132" s="14" t="str">
        <f aca="false">IFERROR(VLOOKUP(D132,Role_Mapping!$A$5:$D$31,2,FALSE()),"UNMAPPED")</f>
        <v>Senior Software Engineer</v>
      </c>
      <c r="K132" s="14" t="str">
        <f aca="false">IFERROR(VLOOKUP(D132,Role_Mapping!$A$5:$D$31,3,FALSE()),"IN")</f>
        <v>IN</v>
      </c>
      <c r="L132" s="15" t="n">
        <f aca="false">IFERROR(SUMPRODUCT((Rate_Card!$A$5:$A$34=J132)*(Rate_Card!$B$5:$B$34=K132)*Rate_Card!$C$5:$C$34),0)</f>
        <v>585</v>
      </c>
      <c r="M132" s="10" t="n">
        <f aca="false">F132*5</f>
        <v>25</v>
      </c>
      <c r="N132" s="16" t="n">
        <f aca="false">L132*M132*H132</f>
        <v>14625</v>
      </c>
      <c r="O132" s="10" t="n">
        <f aca="false">(G132-E132)+1</f>
        <v>36</v>
      </c>
      <c r="P132" s="14" t="str">
        <f aca="false">IFERROR(VLOOKUP(D132,Role_Mapping!$A$5:$D$31,4,FALSE()),"UNMAPPED")</f>
        <v>Full Stack</v>
      </c>
      <c r="Q132" s="16" t="n">
        <f aca="false">$N132*MAX(0,(MIN($G132,DATE(2026,7,31))-MAX($E132,DATE(2026,7,1))+1))/$O132</f>
        <v>10968.75</v>
      </c>
      <c r="R132" s="16" t="n">
        <f aca="false">$N132*MAX(0,(MIN($G132,DATE(2026,8,31))-MAX($E132,DATE(2026,8,1))+1))/$O132</f>
        <v>0</v>
      </c>
      <c r="S132" s="16" t="n">
        <f aca="false">$N132*MAX(0,(MIN($G132,DATE(2026,9,30))-MAX($E132,DATE(2026,9,1))+1))/$O132</f>
        <v>0</v>
      </c>
      <c r="T132" s="16" t="n">
        <f aca="false">$N132*MAX(0,(MIN($G132,DATE(2026,10,31))-MAX($E132,DATE(2026,10,1))+1))/$O132</f>
        <v>0</v>
      </c>
      <c r="U132" s="16" t="n">
        <f aca="false">$N132*MAX(0,(MIN($G132,DATE(2026,11,30))-MAX($E132,DATE(2026,11,1))+1))/$O132</f>
        <v>0</v>
      </c>
      <c r="V132" s="16" t="n">
        <f aca="false">$N132*MAX(0,(MIN($G132,DATE(2026,12,31))-MAX($E132,DATE(2026,12,1))+1))/$O132</f>
        <v>0</v>
      </c>
      <c r="W132" s="17" t="n">
        <f aca="false">$H132*MAX(0,(MIN($G132,DATE(2026,7,31))-MAX($E132,DATE(2026,7,1))+1))/30.4</f>
        <v>0.888157894736842</v>
      </c>
      <c r="X132" s="17" t="n">
        <f aca="false">$H132*MAX(0,(MIN($G132,DATE(2026,8,31))-MAX($E132,DATE(2026,8,1))+1))/30.4</f>
        <v>0</v>
      </c>
      <c r="Y132" s="17" t="n">
        <f aca="false">$H132*MAX(0,(MIN($G132,DATE(2026,9,30))-MAX($E132,DATE(2026,9,1))+1))/30.4</f>
        <v>0</v>
      </c>
      <c r="Z132" s="17" t="n">
        <f aca="false">$H132*MAX(0,(MIN($G132,DATE(2026,10,31))-MAX($E132,DATE(2026,10,1))+1))/30.4</f>
        <v>0</v>
      </c>
      <c r="AA132" s="17" t="n">
        <f aca="false">$H132*MAX(0,(MIN($G132,DATE(2026,11,30))-MAX($E132,DATE(2026,11,1))+1))/30.4</f>
        <v>0</v>
      </c>
      <c r="AB132" s="17" t="n">
        <f aca="false">$H132*MAX(0,(MIN($G132,DATE(2026,12,31))-MAX($E132,DATE(2026,12,1))+1))/30.4</f>
        <v>0</v>
      </c>
    </row>
    <row r="133" customFormat="false" ht="15" hidden="false" customHeight="false" outlineLevel="0" collapsed="false">
      <c r="A133" s="10" t="n">
        <v>82</v>
      </c>
      <c r="B133" s="10" t="n">
        <v>3</v>
      </c>
      <c r="C133" s="10"/>
      <c r="D133" s="10" t="s">
        <v>48</v>
      </c>
      <c r="E133" s="12" t="n">
        <v>46195</v>
      </c>
      <c r="F133" s="10" t="n">
        <v>5</v>
      </c>
      <c r="G133" s="12" t="n">
        <v>46230</v>
      </c>
      <c r="H133" s="13" t="n">
        <v>1</v>
      </c>
      <c r="I133" s="10" t="s">
        <v>126</v>
      </c>
      <c r="J133" s="14" t="str">
        <f aca="false">IFERROR(VLOOKUP(D133,Role_Mapping!$A$5:$D$31,2,FALSE()),"UNMAPPED")</f>
        <v>Associate Consultant</v>
      </c>
      <c r="K133" s="14" t="str">
        <f aca="false">IFERROR(VLOOKUP(D133,Role_Mapping!$A$5:$D$31,3,FALSE()),"IN")</f>
        <v>UK</v>
      </c>
      <c r="L133" s="15" t="n">
        <f aca="false">IFERROR(SUMPRODUCT((Rate_Card!$A$5:$A$34=J133)*(Rate_Card!$B$5:$B$34=K133)*Rate_Card!$C$5:$C$34),0)</f>
        <v>1866</v>
      </c>
      <c r="M133" s="10" t="n">
        <f aca="false">F133*5</f>
        <v>25</v>
      </c>
      <c r="N133" s="16" t="n">
        <f aca="false">L133*M133*H133</f>
        <v>46650</v>
      </c>
      <c r="O133" s="10" t="n">
        <f aca="false">(G133-E133)+1</f>
        <v>36</v>
      </c>
      <c r="P133" s="14" t="str">
        <f aca="false">IFERROR(VLOOKUP(D133,Role_Mapping!$A$5:$D$31,4,FALSE()),"UNMAPPED")</f>
        <v>Consulting</v>
      </c>
      <c r="Q133" s="16" t="n">
        <f aca="false">$N133*MAX(0,(MIN($G133,DATE(2026,7,31))-MAX($E133,DATE(2026,7,1))+1))/$O133</f>
        <v>34987.5</v>
      </c>
      <c r="R133" s="16" t="n">
        <f aca="false">$N133*MAX(0,(MIN($G133,DATE(2026,8,31))-MAX($E133,DATE(2026,8,1))+1))/$O133</f>
        <v>0</v>
      </c>
      <c r="S133" s="16" t="n">
        <f aca="false">$N133*MAX(0,(MIN($G133,DATE(2026,9,30))-MAX($E133,DATE(2026,9,1))+1))/$O133</f>
        <v>0</v>
      </c>
      <c r="T133" s="16" t="n">
        <f aca="false">$N133*MAX(0,(MIN($G133,DATE(2026,10,31))-MAX($E133,DATE(2026,10,1))+1))/$O133</f>
        <v>0</v>
      </c>
      <c r="U133" s="16" t="n">
        <f aca="false">$N133*MAX(0,(MIN($G133,DATE(2026,11,30))-MAX($E133,DATE(2026,11,1))+1))/$O133</f>
        <v>0</v>
      </c>
      <c r="V133" s="16" t="n">
        <f aca="false">$N133*MAX(0,(MIN($G133,DATE(2026,12,31))-MAX($E133,DATE(2026,12,1))+1))/$O133</f>
        <v>0</v>
      </c>
      <c r="W133" s="17" t="n">
        <f aca="false">$H133*MAX(0,(MIN($G133,DATE(2026,7,31))-MAX($E133,DATE(2026,7,1))+1))/30.4</f>
        <v>0.888157894736842</v>
      </c>
      <c r="X133" s="17" t="n">
        <f aca="false">$H133*MAX(0,(MIN($G133,DATE(2026,8,31))-MAX($E133,DATE(2026,8,1))+1))/30.4</f>
        <v>0</v>
      </c>
      <c r="Y133" s="17" t="n">
        <f aca="false">$H133*MAX(0,(MIN($G133,DATE(2026,9,30))-MAX($E133,DATE(2026,9,1))+1))/30.4</f>
        <v>0</v>
      </c>
      <c r="Z133" s="17" t="n">
        <f aca="false">$H133*MAX(0,(MIN($G133,DATE(2026,10,31))-MAX($E133,DATE(2026,10,1))+1))/30.4</f>
        <v>0</v>
      </c>
      <c r="AA133" s="17" t="n">
        <f aca="false">$H133*MAX(0,(MIN($G133,DATE(2026,11,30))-MAX($E133,DATE(2026,11,1))+1))/30.4</f>
        <v>0</v>
      </c>
      <c r="AB133" s="17" t="n">
        <f aca="false">$H133*MAX(0,(MIN($G133,DATE(2026,12,31))-MAX($E133,DATE(2026,12,1))+1))/30.4</f>
        <v>0</v>
      </c>
    </row>
    <row r="134" customFormat="false" ht="15" hidden="false" customHeight="false" outlineLevel="0" collapsed="false">
      <c r="A134" s="10" t="n">
        <v>83</v>
      </c>
      <c r="B134" s="10" t="n">
        <v>3</v>
      </c>
      <c r="C134" s="10"/>
      <c r="D134" s="10" t="s">
        <v>64</v>
      </c>
      <c r="E134" s="12" t="n">
        <v>46195</v>
      </c>
      <c r="F134" s="10" t="n">
        <v>5</v>
      </c>
      <c r="G134" s="12" t="n">
        <v>46230</v>
      </c>
      <c r="H134" s="13" t="n">
        <v>0.125</v>
      </c>
      <c r="I134" s="10" t="s">
        <v>126</v>
      </c>
      <c r="J134" s="14" t="str">
        <f aca="false">IFERROR(VLOOKUP(D134,Role_Mapping!$A$5:$D$31,2,FALSE()),"UNMAPPED")</f>
        <v>Principal Technology Architect</v>
      </c>
      <c r="K134" s="14" t="str">
        <f aca="false">IFERROR(VLOOKUP(D134,Role_Mapping!$A$5:$D$31,3,FALSE()),"IN")</f>
        <v>IN</v>
      </c>
      <c r="L134" s="15" t="n">
        <f aca="false">IFERROR(SUMPRODUCT((Rate_Card!$A$5:$A$34=J134)*(Rate_Card!$B$5:$B$34=K134)*Rate_Card!$C$5:$C$34),0)</f>
        <v>845</v>
      </c>
      <c r="M134" s="10" t="n">
        <f aca="false">F134*5</f>
        <v>25</v>
      </c>
      <c r="N134" s="16" t="n">
        <f aca="false">L134*M134*H134</f>
        <v>2640.625</v>
      </c>
      <c r="O134" s="10" t="n">
        <f aca="false">(G134-E134)+1</f>
        <v>36</v>
      </c>
      <c r="P134" s="14" t="str">
        <f aca="false">IFERROR(VLOOKUP(D134,Role_Mapping!$A$5:$D$31,4,FALSE()),"UNMAPPED")</f>
        <v>Full Stack</v>
      </c>
      <c r="Q134" s="16" t="n">
        <f aca="false">$N134*MAX(0,(MIN($G134,DATE(2026,7,31))-MAX($E134,DATE(2026,7,1))+1))/$O134</f>
        <v>1980.46875</v>
      </c>
      <c r="R134" s="16" t="n">
        <f aca="false">$N134*MAX(0,(MIN($G134,DATE(2026,8,31))-MAX($E134,DATE(2026,8,1))+1))/$O134</f>
        <v>0</v>
      </c>
      <c r="S134" s="16" t="n">
        <f aca="false">$N134*MAX(0,(MIN($G134,DATE(2026,9,30))-MAX($E134,DATE(2026,9,1))+1))/$O134</f>
        <v>0</v>
      </c>
      <c r="T134" s="16" t="n">
        <f aca="false">$N134*MAX(0,(MIN($G134,DATE(2026,10,31))-MAX($E134,DATE(2026,10,1))+1))/$O134</f>
        <v>0</v>
      </c>
      <c r="U134" s="16" t="n">
        <f aca="false">$N134*MAX(0,(MIN($G134,DATE(2026,11,30))-MAX($E134,DATE(2026,11,1))+1))/$O134</f>
        <v>0</v>
      </c>
      <c r="V134" s="16" t="n">
        <f aca="false">$N134*MAX(0,(MIN($G134,DATE(2026,12,31))-MAX($E134,DATE(2026,12,1))+1))/$O134</f>
        <v>0</v>
      </c>
      <c r="W134" s="17" t="n">
        <f aca="false">$H134*MAX(0,(MIN($G134,DATE(2026,7,31))-MAX($E134,DATE(2026,7,1))+1))/30.4</f>
        <v>0.111019736842105</v>
      </c>
      <c r="X134" s="17" t="n">
        <f aca="false">$H134*MAX(0,(MIN($G134,DATE(2026,8,31))-MAX($E134,DATE(2026,8,1))+1))/30.4</f>
        <v>0</v>
      </c>
      <c r="Y134" s="17" t="n">
        <f aca="false">$H134*MAX(0,(MIN($G134,DATE(2026,9,30))-MAX($E134,DATE(2026,9,1))+1))/30.4</f>
        <v>0</v>
      </c>
      <c r="Z134" s="17" t="n">
        <f aca="false">$H134*MAX(0,(MIN($G134,DATE(2026,10,31))-MAX($E134,DATE(2026,10,1))+1))/30.4</f>
        <v>0</v>
      </c>
      <c r="AA134" s="17" t="n">
        <f aca="false">$H134*MAX(0,(MIN($G134,DATE(2026,11,30))-MAX($E134,DATE(2026,11,1))+1))/30.4</f>
        <v>0</v>
      </c>
      <c r="AB134" s="17" t="n">
        <f aca="false">$H134*MAX(0,(MIN($G134,DATE(2026,12,31))-MAX($E134,DATE(2026,12,1))+1))/30.4</f>
        <v>0</v>
      </c>
    </row>
    <row r="135" customFormat="false" ht="15" hidden="false" customHeight="false" outlineLevel="0" collapsed="false">
      <c r="A135" s="10" t="n">
        <v>84</v>
      </c>
      <c r="B135" s="10" t="n">
        <v>3</v>
      </c>
      <c r="C135" s="10"/>
      <c r="D135" s="10" t="s">
        <v>58</v>
      </c>
      <c r="E135" s="12" t="n">
        <v>46195</v>
      </c>
      <c r="F135" s="10" t="n">
        <v>5</v>
      </c>
      <c r="G135" s="12" t="n">
        <v>46230</v>
      </c>
      <c r="H135" s="13" t="n">
        <v>1</v>
      </c>
      <c r="I135" s="10" t="s">
        <v>126</v>
      </c>
      <c r="J135" s="14" t="str">
        <f aca="false">IFERROR(VLOOKUP(D135,Role_Mapping!$A$5:$D$31,2,FALSE()),"UNMAPPED")</f>
        <v>Solutions Enabler</v>
      </c>
      <c r="K135" s="14" t="str">
        <f aca="false">IFERROR(VLOOKUP(D135,Role_Mapping!$A$5:$D$31,3,FALSE()),"IN")</f>
        <v>IN</v>
      </c>
      <c r="L135" s="15" t="n">
        <f aca="false">IFERROR(SUMPRODUCT((Rate_Card!$A$5:$A$34=J135)*(Rate_Card!$B$5:$B$34=K135)*Rate_Card!$C$5:$C$34),0)</f>
        <v>683</v>
      </c>
      <c r="M135" s="10" t="n">
        <f aca="false">F135*5</f>
        <v>25</v>
      </c>
      <c r="N135" s="16" t="n">
        <f aca="false">L135*M135*H135</f>
        <v>17075</v>
      </c>
      <c r="O135" s="10" t="n">
        <f aca="false">(G135-E135)+1</f>
        <v>36</v>
      </c>
      <c r="P135" s="14" t="str">
        <f aca="false">IFERROR(VLOOKUP(D135,Role_Mapping!$A$5:$D$31,4,FALSE()),"UNMAPPED")</f>
        <v>Data Engineering</v>
      </c>
      <c r="Q135" s="16" t="n">
        <f aca="false">$N135*MAX(0,(MIN($G135,DATE(2026,7,31))-MAX($E135,DATE(2026,7,1))+1))/$O135</f>
        <v>12806.25</v>
      </c>
      <c r="R135" s="16" t="n">
        <f aca="false">$N135*MAX(0,(MIN($G135,DATE(2026,8,31))-MAX($E135,DATE(2026,8,1))+1))/$O135</f>
        <v>0</v>
      </c>
      <c r="S135" s="16" t="n">
        <f aca="false">$N135*MAX(0,(MIN($G135,DATE(2026,9,30))-MAX($E135,DATE(2026,9,1))+1))/$O135</f>
        <v>0</v>
      </c>
      <c r="T135" s="16" t="n">
        <f aca="false">$N135*MAX(0,(MIN($G135,DATE(2026,10,31))-MAX($E135,DATE(2026,10,1))+1))/$O135</f>
        <v>0</v>
      </c>
      <c r="U135" s="16" t="n">
        <f aca="false">$N135*MAX(0,(MIN($G135,DATE(2026,11,30))-MAX($E135,DATE(2026,11,1))+1))/$O135</f>
        <v>0</v>
      </c>
      <c r="V135" s="16" t="n">
        <f aca="false">$N135*MAX(0,(MIN($G135,DATE(2026,12,31))-MAX($E135,DATE(2026,12,1))+1))/$O135</f>
        <v>0</v>
      </c>
      <c r="W135" s="17" t="n">
        <f aca="false">$H135*MAX(0,(MIN($G135,DATE(2026,7,31))-MAX($E135,DATE(2026,7,1))+1))/30.4</f>
        <v>0.888157894736842</v>
      </c>
      <c r="X135" s="17" t="n">
        <f aca="false">$H135*MAX(0,(MIN($G135,DATE(2026,8,31))-MAX($E135,DATE(2026,8,1))+1))/30.4</f>
        <v>0</v>
      </c>
      <c r="Y135" s="17" t="n">
        <f aca="false">$H135*MAX(0,(MIN($G135,DATE(2026,9,30))-MAX($E135,DATE(2026,9,1))+1))/30.4</f>
        <v>0</v>
      </c>
      <c r="Z135" s="17" t="n">
        <f aca="false">$H135*MAX(0,(MIN($G135,DATE(2026,10,31))-MAX($E135,DATE(2026,10,1))+1))/30.4</f>
        <v>0</v>
      </c>
      <c r="AA135" s="17" t="n">
        <f aca="false">$H135*MAX(0,(MIN($G135,DATE(2026,11,30))-MAX($E135,DATE(2026,11,1))+1))/30.4</f>
        <v>0</v>
      </c>
      <c r="AB135" s="17" t="n">
        <f aca="false">$H135*MAX(0,(MIN($G135,DATE(2026,12,31))-MAX($E135,DATE(2026,12,1))+1))/30.4</f>
        <v>0</v>
      </c>
    </row>
    <row r="136" customFormat="false" ht="15" hidden="false" customHeight="false" outlineLevel="0" collapsed="false">
      <c r="A136" s="10" t="n">
        <v>85</v>
      </c>
      <c r="B136" s="10" t="n">
        <v>3</v>
      </c>
      <c r="C136" s="10"/>
      <c r="D136" s="10" t="s">
        <v>76</v>
      </c>
      <c r="E136" s="12" t="n">
        <v>46195</v>
      </c>
      <c r="F136" s="10" t="n">
        <v>5</v>
      </c>
      <c r="G136" s="12" t="n">
        <v>46230</v>
      </c>
      <c r="H136" s="13" t="n">
        <v>1</v>
      </c>
      <c r="I136" s="10" t="s">
        <v>113</v>
      </c>
      <c r="J136" s="14" t="str">
        <f aca="false">IFERROR(VLOOKUP(D136,Role_Mapping!$A$5:$D$31,2,FALSE()),"UNMAPPED")</f>
        <v>Senior Software Engineer</v>
      </c>
      <c r="K136" s="14" t="str">
        <f aca="false">IFERROR(VLOOKUP(D136,Role_Mapping!$A$5:$D$31,3,FALSE()),"IN")</f>
        <v>IN</v>
      </c>
      <c r="L136" s="15" t="n">
        <f aca="false">IFERROR(SUMPRODUCT((Rate_Card!$A$5:$A$34=J136)*(Rate_Card!$B$5:$B$34=K136)*Rate_Card!$C$5:$C$34),0)</f>
        <v>585</v>
      </c>
      <c r="M136" s="10" t="n">
        <f aca="false">F136*5</f>
        <v>25</v>
      </c>
      <c r="N136" s="16" t="n">
        <f aca="false">L136*M136*H136</f>
        <v>14625</v>
      </c>
      <c r="O136" s="10" t="n">
        <f aca="false">(G136-E136)+1</f>
        <v>36</v>
      </c>
      <c r="P136" s="14" t="str">
        <f aca="false">IFERROR(VLOOKUP(D136,Role_Mapping!$A$5:$D$31,4,FALSE()),"UNMAPPED")</f>
        <v>Full Stack</v>
      </c>
      <c r="Q136" s="16" t="n">
        <f aca="false">$N136*MAX(0,(MIN($G136,DATE(2026,7,31))-MAX($E136,DATE(2026,7,1))+1))/$O136</f>
        <v>10968.75</v>
      </c>
      <c r="R136" s="16" t="n">
        <f aca="false">$N136*MAX(0,(MIN($G136,DATE(2026,8,31))-MAX($E136,DATE(2026,8,1))+1))/$O136</f>
        <v>0</v>
      </c>
      <c r="S136" s="16" t="n">
        <f aca="false">$N136*MAX(0,(MIN($G136,DATE(2026,9,30))-MAX($E136,DATE(2026,9,1))+1))/$O136</f>
        <v>0</v>
      </c>
      <c r="T136" s="16" t="n">
        <f aca="false">$N136*MAX(0,(MIN($G136,DATE(2026,10,31))-MAX($E136,DATE(2026,10,1))+1))/$O136</f>
        <v>0</v>
      </c>
      <c r="U136" s="16" t="n">
        <f aca="false">$N136*MAX(0,(MIN($G136,DATE(2026,11,30))-MAX($E136,DATE(2026,11,1))+1))/$O136</f>
        <v>0</v>
      </c>
      <c r="V136" s="16" t="n">
        <f aca="false">$N136*MAX(0,(MIN($G136,DATE(2026,12,31))-MAX($E136,DATE(2026,12,1))+1))/$O136</f>
        <v>0</v>
      </c>
      <c r="W136" s="17" t="n">
        <f aca="false">$H136*MAX(0,(MIN($G136,DATE(2026,7,31))-MAX($E136,DATE(2026,7,1))+1))/30.4</f>
        <v>0.888157894736842</v>
      </c>
      <c r="X136" s="17" t="n">
        <f aca="false">$H136*MAX(0,(MIN($G136,DATE(2026,8,31))-MAX($E136,DATE(2026,8,1))+1))/30.4</f>
        <v>0</v>
      </c>
      <c r="Y136" s="17" t="n">
        <f aca="false">$H136*MAX(0,(MIN($G136,DATE(2026,9,30))-MAX($E136,DATE(2026,9,1))+1))/30.4</f>
        <v>0</v>
      </c>
      <c r="Z136" s="17" t="n">
        <f aca="false">$H136*MAX(0,(MIN($G136,DATE(2026,10,31))-MAX($E136,DATE(2026,10,1))+1))/30.4</f>
        <v>0</v>
      </c>
      <c r="AA136" s="17" t="n">
        <f aca="false">$H136*MAX(0,(MIN($G136,DATE(2026,11,30))-MAX($E136,DATE(2026,11,1))+1))/30.4</f>
        <v>0</v>
      </c>
      <c r="AB136" s="17" t="n">
        <f aca="false">$H136*MAX(0,(MIN($G136,DATE(2026,12,31))-MAX($E136,DATE(2026,12,1))+1))/30.4</f>
        <v>0</v>
      </c>
    </row>
    <row r="137" customFormat="false" ht="15" hidden="false" customHeight="false" outlineLevel="0" collapsed="false">
      <c r="A137" s="10" t="n">
        <v>86</v>
      </c>
      <c r="B137" s="10" t="n">
        <v>1</v>
      </c>
      <c r="C137" s="10" t="s">
        <v>140</v>
      </c>
      <c r="D137" s="10" t="s">
        <v>49</v>
      </c>
      <c r="E137" s="12" t="n">
        <v>46209</v>
      </c>
      <c r="F137" s="10" t="n">
        <v>5</v>
      </c>
      <c r="G137" s="12" t="n">
        <v>46244</v>
      </c>
      <c r="H137" s="13" t="n">
        <v>0.125</v>
      </c>
      <c r="I137" s="10" t="s">
        <v>113</v>
      </c>
      <c r="J137" s="14" t="str">
        <f aca="false">IFERROR(VLOOKUP(D137,Role_Mapping!$A$5:$D$31,2,FALSE()),"UNMAPPED")</f>
        <v>Associate Partner</v>
      </c>
      <c r="K137" s="14" t="str">
        <f aca="false">IFERROR(VLOOKUP(D137,Role_Mapping!$A$5:$D$31,3,FALSE()),"IN")</f>
        <v>UK</v>
      </c>
      <c r="L137" s="15" t="n">
        <f aca="false">IFERROR(SUMPRODUCT((Rate_Card!$A$5:$A$34=J137)*(Rate_Card!$B$5:$B$34=K137)*Rate_Card!$C$5:$C$34),0)</f>
        <v>3526</v>
      </c>
      <c r="M137" s="10" t="n">
        <f aca="false">F137*5</f>
        <v>25</v>
      </c>
      <c r="N137" s="16" t="n">
        <f aca="false">L137*M137*H137</f>
        <v>11018.75</v>
      </c>
      <c r="O137" s="10" t="n">
        <f aca="false">(G137-E137)+1</f>
        <v>36</v>
      </c>
      <c r="P137" s="14" t="str">
        <f aca="false">IFERROR(VLOOKUP(D137,Role_Mapping!$A$5:$D$31,4,FALSE()),"UNMAPPED")</f>
        <v>GTM</v>
      </c>
      <c r="Q137" s="16" t="n">
        <f aca="false">$N137*MAX(0,(MIN($G137,DATE(2026,7,31))-MAX($E137,DATE(2026,7,1))+1))/$O137</f>
        <v>7957.98611111111</v>
      </c>
      <c r="R137" s="16" t="n">
        <f aca="false">$N137*MAX(0,(MIN($G137,DATE(2026,8,31))-MAX($E137,DATE(2026,8,1))+1))/$O137</f>
        <v>3060.76388888889</v>
      </c>
      <c r="S137" s="16" t="n">
        <f aca="false">$N137*MAX(0,(MIN($G137,DATE(2026,9,30))-MAX($E137,DATE(2026,9,1))+1))/$O137</f>
        <v>0</v>
      </c>
      <c r="T137" s="16" t="n">
        <f aca="false">$N137*MAX(0,(MIN($G137,DATE(2026,10,31))-MAX($E137,DATE(2026,10,1))+1))/$O137</f>
        <v>0</v>
      </c>
      <c r="U137" s="16" t="n">
        <f aca="false">$N137*MAX(0,(MIN($G137,DATE(2026,11,30))-MAX($E137,DATE(2026,11,1))+1))/$O137</f>
        <v>0</v>
      </c>
      <c r="V137" s="16" t="n">
        <f aca="false">$N137*MAX(0,(MIN($G137,DATE(2026,12,31))-MAX($E137,DATE(2026,12,1))+1))/$O137</f>
        <v>0</v>
      </c>
      <c r="W137" s="17" t="n">
        <f aca="false">$H137*MAX(0,(MIN($G137,DATE(2026,7,31))-MAX($E137,DATE(2026,7,1))+1))/30.4</f>
        <v>0.106907894736842</v>
      </c>
      <c r="X137" s="17" t="n">
        <f aca="false">$H137*MAX(0,(MIN($G137,DATE(2026,8,31))-MAX($E137,DATE(2026,8,1))+1))/30.4</f>
        <v>0.0411184210526316</v>
      </c>
      <c r="Y137" s="17" t="n">
        <f aca="false">$H137*MAX(0,(MIN($G137,DATE(2026,9,30))-MAX($E137,DATE(2026,9,1))+1))/30.4</f>
        <v>0</v>
      </c>
      <c r="Z137" s="17" t="n">
        <f aca="false">$H137*MAX(0,(MIN($G137,DATE(2026,10,31))-MAX($E137,DATE(2026,10,1))+1))/30.4</f>
        <v>0</v>
      </c>
      <c r="AA137" s="17" t="n">
        <f aca="false">$H137*MAX(0,(MIN($G137,DATE(2026,11,30))-MAX($E137,DATE(2026,11,1))+1))/30.4</f>
        <v>0</v>
      </c>
      <c r="AB137" s="17" t="n">
        <f aca="false">$H137*MAX(0,(MIN($G137,DATE(2026,12,31))-MAX($E137,DATE(2026,12,1))+1))/30.4</f>
        <v>0</v>
      </c>
    </row>
    <row r="138" customFormat="false" ht="15" hidden="false" customHeight="false" outlineLevel="0" collapsed="false">
      <c r="A138" s="10" t="n">
        <v>87</v>
      </c>
      <c r="B138" s="10" t="n">
        <v>1</v>
      </c>
      <c r="C138" s="10"/>
      <c r="D138" s="10" t="s">
        <v>61</v>
      </c>
      <c r="E138" s="12" t="n">
        <v>46209</v>
      </c>
      <c r="F138" s="10" t="n">
        <v>5</v>
      </c>
      <c r="G138" s="12" t="n">
        <v>46244</v>
      </c>
      <c r="H138" s="13" t="n">
        <v>0.5</v>
      </c>
      <c r="I138" s="10" t="s">
        <v>113</v>
      </c>
      <c r="J138" s="14" t="str">
        <f aca="false">IFERROR(VLOOKUP(D138,Role_Mapping!$A$5:$D$31,2,FALSE()),"UNMAPPED")</f>
        <v>Manager</v>
      </c>
      <c r="K138" s="14" t="str">
        <f aca="false">IFERROR(VLOOKUP(D138,Role_Mapping!$A$5:$D$31,3,FALSE()),"IN")</f>
        <v>UK</v>
      </c>
      <c r="L138" s="15" t="n">
        <f aca="false">IFERROR(SUMPRODUCT((Rate_Card!$A$5:$A$34=J138)*(Rate_Card!$B$5:$B$34=K138)*Rate_Card!$C$5:$C$34),0)</f>
        <v>2984</v>
      </c>
      <c r="M138" s="10" t="n">
        <f aca="false">F138*5</f>
        <v>25</v>
      </c>
      <c r="N138" s="16" t="n">
        <f aca="false">L138*M138*H138</f>
        <v>37300</v>
      </c>
      <c r="O138" s="10" t="n">
        <f aca="false">(G138-E138)+1</f>
        <v>36</v>
      </c>
      <c r="P138" s="14" t="str">
        <f aca="false">IFERROR(VLOOKUP(D138,Role_Mapping!$A$5:$D$31,4,FALSE()),"UNMAPPED")</f>
        <v>Consulting</v>
      </c>
      <c r="Q138" s="16" t="n">
        <f aca="false">$N138*MAX(0,(MIN($G138,DATE(2026,7,31))-MAX($E138,DATE(2026,7,1))+1))/$O138</f>
        <v>26938.8888888889</v>
      </c>
      <c r="R138" s="16" t="n">
        <f aca="false">$N138*MAX(0,(MIN($G138,DATE(2026,8,31))-MAX($E138,DATE(2026,8,1))+1))/$O138</f>
        <v>10361.1111111111</v>
      </c>
      <c r="S138" s="16" t="n">
        <f aca="false">$N138*MAX(0,(MIN($G138,DATE(2026,9,30))-MAX($E138,DATE(2026,9,1))+1))/$O138</f>
        <v>0</v>
      </c>
      <c r="T138" s="16" t="n">
        <f aca="false">$N138*MAX(0,(MIN($G138,DATE(2026,10,31))-MAX($E138,DATE(2026,10,1))+1))/$O138</f>
        <v>0</v>
      </c>
      <c r="U138" s="16" t="n">
        <f aca="false">$N138*MAX(0,(MIN($G138,DATE(2026,11,30))-MAX($E138,DATE(2026,11,1))+1))/$O138</f>
        <v>0</v>
      </c>
      <c r="V138" s="16" t="n">
        <f aca="false">$N138*MAX(0,(MIN($G138,DATE(2026,12,31))-MAX($E138,DATE(2026,12,1))+1))/$O138</f>
        <v>0</v>
      </c>
      <c r="W138" s="17" t="n">
        <f aca="false">$H138*MAX(0,(MIN($G138,DATE(2026,7,31))-MAX($E138,DATE(2026,7,1))+1))/30.4</f>
        <v>0.427631578947368</v>
      </c>
      <c r="X138" s="17" t="n">
        <f aca="false">$H138*MAX(0,(MIN($G138,DATE(2026,8,31))-MAX($E138,DATE(2026,8,1))+1))/30.4</f>
        <v>0.164473684210526</v>
      </c>
      <c r="Y138" s="17" t="n">
        <f aca="false">$H138*MAX(0,(MIN($G138,DATE(2026,9,30))-MAX($E138,DATE(2026,9,1))+1))/30.4</f>
        <v>0</v>
      </c>
      <c r="Z138" s="17" t="n">
        <f aca="false">$H138*MAX(0,(MIN($G138,DATE(2026,10,31))-MAX($E138,DATE(2026,10,1))+1))/30.4</f>
        <v>0</v>
      </c>
      <c r="AA138" s="17" t="n">
        <f aca="false">$H138*MAX(0,(MIN($G138,DATE(2026,11,30))-MAX($E138,DATE(2026,11,1))+1))/30.4</f>
        <v>0</v>
      </c>
      <c r="AB138" s="17" t="n">
        <f aca="false">$H138*MAX(0,(MIN($G138,DATE(2026,12,31))-MAX($E138,DATE(2026,12,1))+1))/30.4</f>
        <v>0</v>
      </c>
    </row>
    <row r="139" customFormat="false" ht="15" hidden="false" customHeight="false" outlineLevel="0" collapsed="false">
      <c r="A139" s="10" t="n">
        <v>88</v>
      </c>
      <c r="B139" s="10" t="n">
        <v>1</v>
      </c>
      <c r="C139" s="10"/>
      <c r="D139" s="10" t="s">
        <v>53</v>
      </c>
      <c r="E139" s="12" t="n">
        <v>46209</v>
      </c>
      <c r="F139" s="10" t="n">
        <v>5</v>
      </c>
      <c r="G139" s="12" t="n">
        <v>46244</v>
      </c>
      <c r="H139" s="13" t="n">
        <v>1</v>
      </c>
      <c r="I139" s="10" t="s">
        <v>113</v>
      </c>
      <c r="J139" s="14" t="str">
        <f aca="false">IFERROR(VLOOKUP(D139,Role_Mapping!$A$5:$D$31,2,FALSE()),"UNMAPPED")</f>
        <v>Consultant</v>
      </c>
      <c r="K139" s="14" t="str">
        <f aca="false">IFERROR(VLOOKUP(D139,Role_Mapping!$A$5:$D$31,3,FALSE()),"IN")</f>
        <v>IN</v>
      </c>
      <c r="L139" s="15" t="n">
        <f aca="false">IFERROR(SUMPRODUCT((Rate_Card!$A$5:$A$34=J139)*(Rate_Card!$B$5:$B$34=K139)*Rate_Card!$C$5:$C$34),0)</f>
        <v>683</v>
      </c>
      <c r="M139" s="10" t="n">
        <f aca="false">F139*5</f>
        <v>25</v>
      </c>
      <c r="N139" s="16" t="n">
        <f aca="false">L139*M139*H139</f>
        <v>17075</v>
      </c>
      <c r="O139" s="10" t="n">
        <f aca="false">(G139-E139)+1</f>
        <v>36</v>
      </c>
      <c r="P139" s="14" t="str">
        <f aca="false">IFERROR(VLOOKUP(D139,Role_Mapping!$A$5:$D$31,4,FALSE()),"UNMAPPED")</f>
        <v>Consulting</v>
      </c>
      <c r="Q139" s="16" t="n">
        <f aca="false">$N139*MAX(0,(MIN($G139,DATE(2026,7,31))-MAX($E139,DATE(2026,7,1))+1))/$O139</f>
        <v>12331.9444444444</v>
      </c>
      <c r="R139" s="16" t="n">
        <f aca="false">$N139*MAX(0,(MIN($G139,DATE(2026,8,31))-MAX($E139,DATE(2026,8,1))+1))/$O139</f>
        <v>4743.05555555556</v>
      </c>
      <c r="S139" s="16" t="n">
        <f aca="false">$N139*MAX(0,(MIN($G139,DATE(2026,9,30))-MAX($E139,DATE(2026,9,1))+1))/$O139</f>
        <v>0</v>
      </c>
      <c r="T139" s="16" t="n">
        <f aca="false">$N139*MAX(0,(MIN($G139,DATE(2026,10,31))-MAX($E139,DATE(2026,10,1))+1))/$O139</f>
        <v>0</v>
      </c>
      <c r="U139" s="16" t="n">
        <f aca="false">$N139*MAX(0,(MIN($G139,DATE(2026,11,30))-MAX($E139,DATE(2026,11,1))+1))/$O139</f>
        <v>0</v>
      </c>
      <c r="V139" s="16" t="n">
        <f aca="false">$N139*MAX(0,(MIN($G139,DATE(2026,12,31))-MAX($E139,DATE(2026,12,1))+1))/$O139</f>
        <v>0</v>
      </c>
      <c r="W139" s="17" t="n">
        <f aca="false">$H139*MAX(0,(MIN($G139,DATE(2026,7,31))-MAX($E139,DATE(2026,7,1))+1))/30.4</f>
        <v>0.855263157894737</v>
      </c>
      <c r="X139" s="17" t="n">
        <f aca="false">$H139*MAX(0,(MIN($G139,DATE(2026,8,31))-MAX($E139,DATE(2026,8,1))+1))/30.4</f>
        <v>0.328947368421053</v>
      </c>
      <c r="Y139" s="17" t="n">
        <f aca="false">$H139*MAX(0,(MIN($G139,DATE(2026,9,30))-MAX($E139,DATE(2026,9,1))+1))/30.4</f>
        <v>0</v>
      </c>
      <c r="Z139" s="17" t="n">
        <f aca="false">$H139*MAX(0,(MIN($G139,DATE(2026,10,31))-MAX($E139,DATE(2026,10,1))+1))/30.4</f>
        <v>0</v>
      </c>
      <c r="AA139" s="17" t="n">
        <f aca="false">$H139*MAX(0,(MIN($G139,DATE(2026,11,30))-MAX($E139,DATE(2026,11,1))+1))/30.4</f>
        <v>0</v>
      </c>
      <c r="AB139" s="17" t="n">
        <f aca="false">$H139*MAX(0,(MIN($G139,DATE(2026,12,31))-MAX($E139,DATE(2026,12,1))+1))/30.4</f>
        <v>0</v>
      </c>
    </row>
    <row r="140" customFormat="false" ht="15" hidden="false" customHeight="false" outlineLevel="0" collapsed="false">
      <c r="A140" s="10" t="n">
        <v>89</v>
      </c>
      <c r="B140" s="10" t="n">
        <v>1</v>
      </c>
      <c r="C140" s="10"/>
      <c r="D140" s="10" t="s">
        <v>64</v>
      </c>
      <c r="E140" s="12" t="n">
        <v>46209</v>
      </c>
      <c r="F140" s="10" t="n">
        <v>5</v>
      </c>
      <c r="G140" s="12" t="n">
        <v>46244</v>
      </c>
      <c r="H140" s="13" t="n">
        <v>0.25</v>
      </c>
      <c r="I140" s="10" t="s">
        <v>113</v>
      </c>
      <c r="J140" s="14" t="str">
        <f aca="false">IFERROR(VLOOKUP(D140,Role_Mapping!$A$5:$D$31,2,FALSE()),"UNMAPPED")</f>
        <v>Principal Technology Architect</v>
      </c>
      <c r="K140" s="14" t="str">
        <f aca="false">IFERROR(VLOOKUP(D140,Role_Mapping!$A$5:$D$31,3,FALSE()),"IN")</f>
        <v>IN</v>
      </c>
      <c r="L140" s="15" t="n">
        <f aca="false">IFERROR(SUMPRODUCT((Rate_Card!$A$5:$A$34=J140)*(Rate_Card!$B$5:$B$34=K140)*Rate_Card!$C$5:$C$34),0)</f>
        <v>845</v>
      </c>
      <c r="M140" s="10" t="n">
        <f aca="false">F140*5</f>
        <v>25</v>
      </c>
      <c r="N140" s="16" t="n">
        <f aca="false">L140*M140*H140</f>
        <v>5281.25</v>
      </c>
      <c r="O140" s="10" t="n">
        <f aca="false">(G140-E140)+1</f>
        <v>36</v>
      </c>
      <c r="P140" s="14" t="str">
        <f aca="false">IFERROR(VLOOKUP(D140,Role_Mapping!$A$5:$D$31,4,FALSE()),"UNMAPPED")</f>
        <v>Full Stack</v>
      </c>
      <c r="Q140" s="16" t="n">
        <f aca="false">$N140*MAX(0,(MIN($G140,DATE(2026,7,31))-MAX($E140,DATE(2026,7,1))+1))/$O140</f>
        <v>3814.23611111111</v>
      </c>
      <c r="R140" s="16" t="n">
        <f aca="false">$N140*MAX(0,(MIN($G140,DATE(2026,8,31))-MAX($E140,DATE(2026,8,1))+1))/$O140</f>
        <v>1467.01388888889</v>
      </c>
      <c r="S140" s="16" t="n">
        <f aca="false">$N140*MAX(0,(MIN($G140,DATE(2026,9,30))-MAX($E140,DATE(2026,9,1))+1))/$O140</f>
        <v>0</v>
      </c>
      <c r="T140" s="16" t="n">
        <f aca="false">$N140*MAX(0,(MIN($G140,DATE(2026,10,31))-MAX($E140,DATE(2026,10,1))+1))/$O140</f>
        <v>0</v>
      </c>
      <c r="U140" s="16" t="n">
        <f aca="false">$N140*MAX(0,(MIN($G140,DATE(2026,11,30))-MAX($E140,DATE(2026,11,1))+1))/$O140</f>
        <v>0</v>
      </c>
      <c r="V140" s="16" t="n">
        <f aca="false">$N140*MAX(0,(MIN($G140,DATE(2026,12,31))-MAX($E140,DATE(2026,12,1))+1))/$O140</f>
        <v>0</v>
      </c>
      <c r="W140" s="17" t="n">
        <f aca="false">$H140*MAX(0,(MIN($G140,DATE(2026,7,31))-MAX($E140,DATE(2026,7,1))+1))/30.4</f>
        <v>0.213815789473684</v>
      </c>
      <c r="X140" s="17" t="n">
        <f aca="false">$H140*MAX(0,(MIN($G140,DATE(2026,8,31))-MAX($E140,DATE(2026,8,1))+1))/30.4</f>
        <v>0.0822368421052632</v>
      </c>
      <c r="Y140" s="17" t="n">
        <f aca="false">$H140*MAX(0,(MIN($G140,DATE(2026,9,30))-MAX($E140,DATE(2026,9,1))+1))/30.4</f>
        <v>0</v>
      </c>
      <c r="Z140" s="17" t="n">
        <f aca="false">$H140*MAX(0,(MIN($G140,DATE(2026,10,31))-MAX($E140,DATE(2026,10,1))+1))/30.4</f>
        <v>0</v>
      </c>
      <c r="AA140" s="17" t="n">
        <f aca="false">$H140*MAX(0,(MIN($G140,DATE(2026,11,30))-MAX($E140,DATE(2026,11,1))+1))/30.4</f>
        <v>0</v>
      </c>
      <c r="AB140" s="17" t="n">
        <f aca="false">$H140*MAX(0,(MIN($G140,DATE(2026,12,31))-MAX($E140,DATE(2026,12,1))+1))/30.4</f>
        <v>0</v>
      </c>
    </row>
    <row r="141" customFormat="false" ht="15" hidden="false" customHeight="false" outlineLevel="0" collapsed="false">
      <c r="A141" s="10" t="n">
        <v>90</v>
      </c>
      <c r="B141" s="10" t="n">
        <v>1</v>
      </c>
      <c r="C141" s="10"/>
      <c r="D141" s="10" t="s">
        <v>80</v>
      </c>
      <c r="E141" s="12" t="n">
        <v>46209</v>
      </c>
      <c r="F141" s="10" t="n">
        <v>5</v>
      </c>
      <c r="G141" s="12" t="n">
        <v>46244</v>
      </c>
      <c r="H141" s="13" t="n">
        <v>0.75</v>
      </c>
      <c r="I141" s="10" t="s">
        <v>113</v>
      </c>
      <c r="J141" s="14" t="str">
        <f aca="false">IFERROR(VLOOKUP(D141,Role_Mapping!$A$5:$D$31,2,FALSE()),"UNMAPPED")</f>
        <v>Solutions Consultant</v>
      </c>
      <c r="K141" s="14" t="str">
        <f aca="false">IFERROR(VLOOKUP(D141,Role_Mapping!$A$5:$D$31,3,FALSE()),"IN")</f>
        <v>IN</v>
      </c>
      <c r="L141" s="15" t="n">
        <f aca="false">IFERROR(SUMPRODUCT((Rate_Card!$A$5:$A$34=J141)*(Rate_Card!$B$5:$B$34=K141)*Rate_Card!$C$5:$C$34),0)</f>
        <v>683</v>
      </c>
      <c r="M141" s="10" t="n">
        <f aca="false">F141*5</f>
        <v>25</v>
      </c>
      <c r="N141" s="16" t="n">
        <f aca="false">L141*M141*H141</f>
        <v>12806.25</v>
      </c>
      <c r="O141" s="10" t="n">
        <f aca="false">(G141-E141)+1</f>
        <v>36</v>
      </c>
      <c r="P141" s="14" t="str">
        <f aca="false">IFERROR(VLOOKUP(D141,Role_Mapping!$A$5:$D$31,4,FALSE()),"UNMAPPED")</f>
        <v>Power BI &amp; Consulting</v>
      </c>
      <c r="Q141" s="16" t="n">
        <f aca="false">$N141*MAX(0,(MIN($G141,DATE(2026,7,31))-MAX($E141,DATE(2026,7,1))+1))/$O141</f>
        <v>9248.95833333333</v>
      </c>
      <c r="R141" s="16" t="n">
        <f aca="false">$N141*MAX(0,(MIN($G141,DATE(2026,8,31))-MAX($E141,DATE(2026,8,1))+1))/$O141</f>
        <v>3557.29166666667</v>
      </c>
      <c r="S141" s="16" t="n">
        <f aca="false">$N141*MAX(0,(MIN($G141,DATE(2026,9,30))-MAX($E141,DATE(2026,9,1))+1))/$O141</f>
        <v>0</v>
      </c>
      <c r="T141" s="16" t="n">
        <f aca="false">$N141*MAX(0,(MIN($G141,DATE(2026,10,31))-MAX($E141,DATE(2026,10,1))+1))/$O141</f>
        <v>0</v>
      </c>
      <c r="U141" s="16" t="n">
        <f aca="false">$N141*MAX(0,(MIN($G141,DATE(2026,11,30))-MAX($E141,DATE(2026,11,1))+1))/$O141</f>
        <v>0</v>
      </c>
      <c r="V141" s="16" t="n">
        <f aca="false">$N141*MAX(0,(MIN($G141,DATE(2026,12,31))-MAX($E141,DATE(2026,12,1))+1))/$O141</f>
        <v>0</v>
      </c>
      <c r="W141" s="17" t="n">
        <f aca="false">$H141*MAX(0,(MIN($G141,DATE(2026,7,31))-MAX($E141,DATE(2026,7,1))+1))/30.4</f>
        <v>0.641447368421053</v>
      </c>
      <c r="X141" s="17" t="n">
        <f aca="false">$H141*MAX(0,(MIN($G141,DATE(2026,8,31))-MAX($E141,DATE(2026,8,1))+1))/30.4</f>
        <v>0.24671052631579</v>
      </c>
      <c r="Y141" s="17" t="n">
        <f aca="false">$H141*MAX(0,(MIN($G141,DATE(2026,9,30))-MAX($E141,DATE(2026,9,1))+1))/30.4</f>
        <v>0</v>
      </c>
      <c r="Z141" s="17" t="n">
        <f aca="false">$H141*MAX(0,(MIN($G141,DATE(2026,10,31))-MAX($E141,DATE(2026,10,1))+1))/30.4</f>
        <v>0</v>
      </c>
      <c r="AA141" s="17" t="n">
        <f aca="false">$H141*MAX(0,(MIN($G141,DATE(2026,11,30))-MAX($E141,DATE(2026,11,1))+1))/30.4</f>
        <v>0</v>
      </c>
      <c r="AB141" s="17" t="n">
        <f aca="false">$H141*MAX(0,(MIN($G141,DATE(2026,12,31))-MAX($E141,DATE(2026,12,1))+1))/30.4</f>
        <v>0</v>
      </c>
    </row>
    <row r="142" customFormat="false" ht="15" hidden="false" customHeight="false" outlineLevel="0" collapsed="false">
      <c r="A142" s="10" t="n">
        <v>91</v>
      </c>
      <c r="B142" s="10" t="n">
        <v>1</v>
      </c>
      <c r="C142" s="10"/>
      <c r="D142" s="10" t="s">
        <v>76</v>
      </c>
      <c r="E142" s="12" t="n">
        <v>46209</v>
      </c>
      <c r="F142" s="10" t="n">
        <v>5</v>
      </c>
      <c r="G142" s="12" t="n">
        <v>46244</v>
      </c>
      <c r="H142" s="13" t="n">
        <v>1</v>
      </c>
      <c r="I142" s="10" t="s">
        <v>113</v>
      </c>
      <c r="J142" s="14" t="str">
        <f aca="false">IFERROR(VLOOKUP(D142,Role_Mapping!$A$5:$D$31,2,FALSE()),"UNMAPPED")</f>
        <v>Senior Software Engineer</v>
      </c>
      <c r="K142" s="14" t="str">
        <f aca="false">IFERROR(VLOOKUP(D142,Role_Mapping!$A$5:$D$31,3,FALSE()),"IN")</f>
        <v>IN</v>
      </c>
      <c r="L142" s="15" t="n">
        <f aca="false">IFERROR(SUMPRODUCT((Rate_Card!$A$5:$A$34=J142)*(Rate_Card!$B$5:$B$34=K142)*Rate_Card!$C$5:$C$34),0)</f>
        <v>585</v>
      </c>
      <c r="M142" s="10" t="n">
        <f aca="false">F142*5</f>
        <v>25</v>
      </c>
      <c r="N142" s="16" t="n">
        <f aca="false">L142*M142*H142</f>
        <v>14625</v>
      </c>
      <c r="O142" s="10" t="n">
        <f aca="false">(G142-E142)+1</f>
        <v>36</v>
      </c>
      <c r="P142" s="14" t="str">
        <f aca="false">IFERROR(VLOOKUP(D142,Role_Mapping!$A$5:$D$31,4,FALSE()),"UNMAPPED")</f>
        <v>Full Stack</v>
      </c>
      <c r="Q142" s="16" t="n">
        <f aca="false">$N142*MAX(0,(MIN($G142,DATE(2026,7,31))-MAX($E142,DATE(2026,7,1))+1))/$O142</f>
        <v>10562.5</v>
      </c>
      <c r="R142" s="16" t="n">
        <f aca="false">$N142*MAX(0,(MIN($G142,DATE(2026,8,31))-MAX($E142,DATE(2026,8,1))+1))/$O142</f>
        <v>4062.5</v>
      </c>
      <c r="S142" s="16" t="n">
        <f aca="false">$N142*MAX(0,(MIN($G142,DATE(2026,9,30))-MAX($E142,DATE(2026,9,1))+1))/$O142</f>
        <v>0</v>
      </c>
      <c r="T142" s="16" t="n">
        <f aca="false">$N142*MAX(0,(MIN($G142,DATE(2026,10,31))-MAX($E142,DATE(2026,10,1))+1))/$O142</f>
        <v>0</v>
      </c>
      <c r="U142" s="16" t="n">
        <f aca="false">$N142*MAX(0,(MIN($G142,DATE(2026,11,30))-MAX($E142,DATE(2026,11,1))+1))/$O142</f>
        <v>0</v>
      </c>
      <c r="V142" s="16" t="n">
        <f aca="false">$N142*MAX(0,(MIN($G142,DATE(2026,12,31))-MAX($E142,DATE(2026,12,1))+1))/$O142</f>
        <v>0</v>
      </c>
      <c r="W142" s="17" t="n">
        <f aca="false">$H142*MAX(0,(MIN($G142,DATE(2026,7,31))-MAX($E142,DATE(2026,7,1))+1))/30.4</f>
        <v>0.855263157894737</v>
      </c>
      <c r="X142" s="17" t="n">
        <f aca="false">$H142*MAX(0,(MIN($G142,DATE(2026,8,31))-MAX($E142,DATE(2026,8,1))+1))/30.4</f>
        <v>0.328947368421053</v>
      </c>
      <c r="Y142" s="17" t="n">
        <f aca="false">$H142*MAX(0,(MIN($G142,DATE(2026,9,30))-MAX($E142,DATE(2026,9,1))+1))/30.4</f>
        <v>0</v>
      </c>
      <c r="Z142" s="17" t="n">
        <f aca="false">$H142*MAX(0,(MIN($G142,DATE(2026,10,31))-MAX($E142,DATE(2026,10,1))+1))/30.4</f>
        <v>0</v>
      </c>
      <c r="AA142" s="17" t="n">
        <f aca="false">$H142*MAX(0,(MIN($G142,DATE(2026,11,30))-MAX($E142,DATE(2026,11,1))+1))/30.4</f>
        <v>0</v>
      </c>
      <c r="AB142" s="17" t="n">
        <f aca="false">$H142*MAX(0,(MIN($G142,DATE(2026,12,31))-MAX($E142,DATE(2026,12,1))+1))/30.4</f>
        <v>0</v>
      </c>
    </row>
    <row r="143" customFormat="false" ht="15" hidden="false" customHeight="false" outlineLevel="0" collapsed="false">
      <c r="A143" s="10" t="n">
        <v>92</v>
      </c>
      <c r="B143" s="10" t="n">
        <v>4</v>
      </c>
      <c r="C143" s="10" t="s">
        <v>141</v>
      </c>
      <c r="D143" s="10" t="s">
        <v>62</v>
      </c>
      <c r="E143" s="12" t="n">
        <v>46188</v>
      </c>
      <c r="F143" s="10" t="n">
        <v>5</v>
      </c>
      <c r="G143" s="12" t="n">
        <v>46223</v>
      </c>
      <c r="H143" s="13" t="n">
        <v>0.125</v>
      </c>
      <c r="I143" s="10" t="s">
        <v>126</v>
      </c>
      <c r="J143" s="14" t="str">
        <f aca="false">IFERROR(VLOOKUP(D143,Role_Mapping!$A$5:$D$31,2,FALSE()),"UNMAPPED")</f>
        <v>Associate Partner</v>
      </c>
      <c r="K143" s="14" t="str">
        <f aca="false">IFERROR(VLOOKUP(D143,Role_Mapping!$A$5:$D$31,3,FALSE()),"IN")</f>
        <v>UK</v>
      </c>
      <c r="L143" s="15" t="n">
        <f aca="false">IFERROR(SUMPRODUCT((Rate_Card!$A$5:$A$34=J143)*(Rate_Card!$B$5:$B$34=K143)*Rate_Card!$C$5:$C$34),0)</f>
        <v>3526</v>
      </c>
      <c r="M143" s="10" t="n">
        <f aca="false">F143*5</f>
        <v>25</v>
      </c>
      <c r="N143" s="16" t="n">
        <f aca="false">L143*M143*H143</f>
        <v>11018.75</v>
      </c>
      <c r="O143" s="10" t="n">
        <f aca="false">(G143-E143)+1</f>
        <v>36</v>
      </c>
      <c r="P143" s="14" t="str">
        <f aca="false">IFERROR(VLOOKUP(D143,Role_Mapping!$A$5:$D$31,4,FALSE()),"UNMAPPED")</f>
        <v>GTM</v>
      </c>
      <c r="Q143" s="16" t="n">
        <f aca="false">$N143*MAX(0,(MIN($G143,DATE(2026,7,31))-MAX($E143,DATE(2026,7,1))+1))/$O143</f>
        <v>6121.52777777778</v>
      </c>
      <c r="R143" s="16" t="n">
        <f aca="false">$N143*MAX(0,(MIN($G143,DATE(2026,8,31))-MAX($E143,DATE(2026,8,1))+1))/$O143</f>
        <v>0</v>
      </c>
      <c r="S143" s="16" t="n">
        <f aca="false">$N143*MAX(0,(MIN($G143,DATE(2026,9,30))-MAX($E143,DATE(2026,9,1))+1))/$O143</f>
        <v>0</v>
      </c>
      <c r="T143" s="16" t="n">
        <f aca="false">$N143*MAX(0,(MIN($G143,DATE(2026,10,31))-MAX($E143,DATE(2026,10,1))+1))/$O143</f>
        <v>0</v>
      </c>
      <c r="U143" s="16" t="n">
        <f aca="false">$N143*MAX(0,(MIN($G143,DATE(2026,11,30))-MAX($E143,DATE(2026,11,1))+1))/$O143</f>
        <v>0</v>
      </c>
      <c r="V143" s="16" t="n">
        <f aca="false">$N143*MAX(0,(MIN($G143,DATE(2026,12,31))-MAX($E143,DATE(2026,12,1))+1))/$O143</f>
        <v>0</v>
      </c>
      <c r="W143" s="17" t="n">
        <f aca="false">$H143*MAX(0,(MIN($G143,DATE(2026,7,31))-MAX($E143,DATE(2026,7,1))+1))/30.4</f>
        <v>0.0822368421052632</v>
      </c>
      <c r="X143" s="17" t="n">
        <f aca="false">$H143*MAX(0,(MIN($G143,DATE(2026,8,31))-MAX($E143,DATE(2026,8,1))+1))/30.4</f>
        <v>0</v>
      </c>
      <c r="Y143" s="17" t="n">
        <f aca="false">$H143*MAX(0,(MIN($G143,DATE(2026,9,30))-MAX($E143,DATE(2026,9,1))+1))/30.4</f>
        <v>0</v>
      </c>
      <c r="Z143" s="17" t="n">
        <f aca="false">$H143*MAX(0,(MIN($G143,DATE(2026,10,31))-MAX($E143,DATE(2026,10,1))+1))/30.4</f>
        <v>0</v>
      </c>
      <c r="AA143" s="17" t="n">
        <f aca="false">$H143*MAX(0,(MIN($G143,DATE(2026,11,30))-MAX($E143,DATE(2026,11,1))+1))/30.4</f>
        <v>0</v>
      </c>
      <c r="AB143" s="17" t="n">
        <f aca="false">$H143*MAX(0,(MIN($G143,DATE(2026,12,31))-MAX($E143,DATE(2026,12,1))+1))/30.4</f>
        <v>0</v>
      </c>
    </row>
    <row r="144" customFormat="false" ht="15" hidden="false" customHeight="false" outlineLevel="0" collapsed="false">
      <c r="A144" s="10" t="n">
        <v>93</v>
      </c>
      <c r="B144" s="10" t="n">
        <v>4</v>
      </c>
      <c r="C144" s="10"/>
      <c r="D144" s="10" t="s">
        <v>61</v>
      </c>
      <c r="E144" s="12" t="n">
        <v>46188</v>
      </c>
      <c r="F144" s="10" t="n">
        <v>5</v>
      </c>
      <c r="G144" s="12" t="n">
        <v>46223</v>
      </c>
      <c r="H144" s="13" t="n">
        <v>0.25</v>
      </c>
      <c r="I144" s="10" t="s">
        <v>126</v>
      </c>
      <c r="J144" s="14" t="str">
        <f aca="false">IFERROR(VLOOKUP(D144,Role_Mapping!$A$5:$D$31,2,FALSE()),"UNMAPPED")</f>
        <v>Manager</v>
      </c>
      <c r="K144" s="14" t="str">
        <f aca="false">IFERROR(VLOOKUP(D144,Role_Mapping!$A$5:$D$31,3,FALSE()),"IN")</f>
        <v>UK</v>
      </c>
      <c r="L144" s="15" t="n">
        <f aca="false">IFERROR(SUMPRODUCT((Rate_Card!$A$5:$A$34=J144)*(Rate_Card!$B$5:$B$34=K144)*Rate_Card!$C$5:$C$34),0)</f>
        <v>2984</v>
      </c>
      <c r="M144" s="10" t="n">
        <f aca="false">F144*5</f>
        <v>25</v>
      </c>
      <c r="N144" s="16" t="n">
        <f aca="false">L144*M144*H144</f>
        <v>18650</v>
      </c>
      <c r="O144" s="10" t="n">
        <f aca="false">(G144-E144)+1</f>
        <v>36</v>
      </c>
      <c r="P144" s="14" t="str">
        <f aca="false">IFERROR(VLOOKUP(D144,Role_Mapping!$A$5:$D$31,4,FALSE()),"UNMAPPED")</f>
        <v>Consulting</v>
      </c>
      <c r="Q144" s="16" t="n">
        <f aca="false">$N144*MAX(0,(MIN($G144,DATE(2026,7,31))-MAX($E144,DATE(2026,7,1))+1))/$O144</f>
        <v>10361.1111111111</v>
      </c>
      <c r="R144" s="16" t="n">
        <f aca="false">$N144*MAX(0,(MIN($G144,DATE(2026,8,31))-MAX($E144,DATE(2026,8,1))+1))/$O144</f>
        <v>0</v>
      </c>
      <c r="S144" s="16" t="n">
        <f aca="false">$N144*MAX(0,(MIN($G144,DATE(2026,9,30))-MAX($E144,DATE(2026,9,1))+1))/$O144</f>
        <v>0</v>
      </c>
      <c r="T144" s="16" t="n">
        <f aca="false">$N144*MAX(0,(MIN($G144,DATE(2026,10,31))-MAX($E144,DATE(2026,10,1))+1))/$O144</f>
        <v>0</v>
      </c>
      <c r="U144" s="16" t="n">
        <f aca="false">$N144*MAX(0,(MIN($G144,DATE(2026,11,30))-MAX($E144,DATE(2026,11,1))+1))/$O144</f>
        <v>0</v>
      </c>
      <c r="V144" s="16" t="n">
        <f aca="false">$N144*MAX(0,(MIN($G144,DATE(2026,12,31))-MAX($E144,DATE(2026,12,1))+1))/$O144</f>
        <v>0</v>
      </c>
      <c r="W144" s="17" t="n">
        <f aca="false">$H144*MAX(0,(MIN($G144,DATE(2026,7,31))-MAX($E144,DATE(2026,7,1))+1))/30.4</f>
        <v>0.164473684210526</v>
      </c>
      <c r="X144" s="17" t="n">
        <f aca="false">$H144*MAX(0,(MIN($G144,DATE(2026,8,31))-MAX($E144,DATE(2026,8,1))+1))/30.4</f>
        <v>0</v>
      </c>
      <c r="Y144" s="17" t="n">
        <f aca="false">$H144*MAX(0,(MIN($G144,DATE(2026,9,30))-MAX($E144,DATE(2026,9,1))+1))/30.4</f>
        <v>0</v>
      </c>
      <c r="Z144" s="17" t="n">
        <f aca="false">$H144*MAX(0,(MIN($G144,DATE(2026,10,31))-MAX($E144,DATE(2026,10,1))+1))/30.4</f>
        <v>0</v>
      </c>
      <c r="AA144" s="17" t="n">
        <f aca="false">$H144*MAX(0,(MIN($G144,DATE(2026,11,30))-MAX($E144,DATE(2026,11,1))+1))/30.4</f>
        <v>0</v>
      </c>
      <c r="AB144" s="17" t="n">
        <f aca="false">$H144*MAX(0,(MIN($G144,DATE(2026,12,31))-MAX($E144,DATE(2026,12,1))+1))/30.4</f>
        <v>0</v>
      </c>
    </row>
    <row r="145" customFormat="false" ht="15" hidden="false" customHeight="false" outlineLevel="0" collapsed="false">
      <c r="A145" s="10" t="n">
        <v>94</v>
      </c>
      <c r="B145" s="10" t="n">
        <v>4</v>
      </c>
      <c r="C145" s="10"/>
      <c r="D145" s="10" t="s">
        <v>53</v>
      </c>
      <c r="E145" s="12" t="n">
        <v>46188</v>
      </c>
      <c r="F145" s="10" t="n">
        <v>5</v>
      </c>
      <c r="G145" s="12" t="n">
        <v>46223</v>
      </c>
      <c r="H145" s="13" t="n">
        <v>0.5</v>
      </c>
      <c r="I145" s="10" t="s">
        <v>126</v>
      </c>
      <c r="J145" s="14" t="str">
        <f aca="false">IFERROR(VLOOKUP(D145,Role_Mapping!$A$5:$D$31,2,FALSE()),"UNMAPPED")</f>
        <v>Consultant</v>
      </c>
      <c r="K145" s="14" t="str">
        <f aca="false">IFERROR(VLOOKUP(D145,Role_Mapping!$A$5:$D$31,3,FALSE()),"IN")</f>
        <v>IN</v>
      </c>
      <c r="L145" s="15" t="n">
        <f aca="false">IFERROR(SUMPRODUCT((Rate_Card!$A$5:$A$34=J145)*(Rate_Card!$B$5:$B$34=K145)*Rate_Card!$C$5:$C$34),0)</f>
        <v>683</v>
      </c>
      <c r="M145" s="10" t="n">
        <f aca="false">F145*5</f>
        <v>25</v>
      </c>
      <c r="N145" s="16" t="n">
        <f aca="false">L145*M145*H145</f>
        <v>8537.5</v>
      </c>
      <c r="O145" s="10" t="n">
        <f aca="false">(G145-E145)+1</f>
        <v>36</v>
      </c>
      <c r="P145" s="14" t="str">
        <f aca="false">IFERROR(VLOOKUP(D145,Role_Mapping!$A$5:$D$31,4,FALSE()),"UNMAPPED")</f>
        <v>Consulting</v>
      </c>
      <c r="Q145" s="16" t="n">
        <f aca="false">$N145*MAX(0,(MIN($G145,DATE(2026,7,31))-MAX($E145,DATE(2026,7,1))+1))/$O145</f>
        <v>4743.05555555556</v>
      </c>
      <c r="R145" s="16" t="n">
        <f aca="false">$N145*MAX(0,(MIN($G145,DATE(2026,8,31))-MAX($E145,DATE(2026,8,1))+1))/$O145</f>
        <v>0</v>
      </c>
      <c r="S145" s="16" t="n">
        <f aca="false">$N145*MAX(0,(MIN($G145,DATE(2026,9,30))-MAX($E145,DATE(2026,9,1))+1))/$O145</f>
        <v>0</v>
      </c>
      <c r="T145" s="16" t="n">
        <f aca="false">$N145*MAX(0,(MIN($G145,DATE(2026,10,31))-MAX($E145,DATE(2026,10,1))+1))/$O145</f>
        <v>0</v>
      </c>
      <c r="U145" s="16" t="n">
        <f aca="false">$N145*MAX(0,(MIN($G145,DATE(2026,11,30))-MAX($E145,DATE(2026,11,1))+1))/$O145</f>
        <v>0</v>
      </c>
      <c r="V145" s="16" t="n">
        <f aca="false">$N145*MAX(0,(MIN($G145,DATE(2026,12,31))-MAX($E145,DATE(2026,12,1))+1))/$O145</f>
        <v>0</v>
      </c>
      <c r="W145" s="17" t="n">
        <f aca="false">$H145*MAX(0,(MIN($G145,DATE(2026,7,31))-MAX($E145,DATE(2026,7,1))+1))/30.4</f>
        <v>0.328947368421053</v>
      </c>
      <c r="X145" s="17" t="n">
        <f aca="false">$H145*MAX(0,(MIN($G145,DATE(2026,8,31))-MAX($E145,DATE(2026,8,1))+1))/30.4</f>
        <v>0</v>
      </c>
      <c r="Y145" s="17" t="n">
        <f aca="false">$H145*MAX(0,(MIN($G145,DATE(2026,9,30))-MAX($E145,DATE(2026,9,1))+1))/30.4</f>
        <v>0</v>
      </c>
      <c r="Z145" s="17" t="n">
        <f aca="false">$H145*MAX(0,(MIN($G145,DATE(2026,10,31))-MAX($E145,DATE(2026,10,1))+1))/30.4</f>
        <v>0</v>
      </c>
      <c r="AA145" s="17" t="n">
        <f aca="false">$H145*MAX(0,(MIN($G145,DATE(2026,11,30))-MAX($E145,DATE(2026,11,1))+1))/30.4</f>
        <v>0</v>
      </c>
      <c r="AB145" s="17" t="n">
        <f aca="false">$H145*MAX(0,(MIN($G145,DATE(2026,12,31))-MAX($E145,DATE(2026,12,1))+1))/30.4</f>
        <v>0</v>
      </c>
    </row>
    <row r="146" customFormat="false" ht="15" hidden="false" customHeight="false" outlineLevel="0" collapsed="false">
      <c r="A146" s="10" t="n">
        <v>95</v>
      </c>
      <c r="B146" s="10" t="n">
        <v>4</v>
      </c>
      <c r="C146" s="10"/>
      <c r="D146" s="10" t="s">
        <v>45</v>
      </c>
      <c r="E146" s="12" t="n">
        <v>46188</v>
      </c>
      <c r="F146" s="10" t="n">
        <v>5</v>
      </c>
      <c r="G146" s="12" t="n">
        <v>46223</v>
      </c>
      <c r="H146" s="13" t="n">
        <v>1</v>
      </c>
      <c r="I146" s="10" t="s">
        <v>126</v>
      </c>
      <c r="J146" s="14" t="str">
        <f aca="false">IFERROR(VLOOKUP(D146,Role_Mapping!$A$5:$D$31,2,FALSE()),"UNMAPPED")</f>
        <v>Associate Consultant</v>
      </c>
      <c r="K146" s="14" t="str">
        <f aca="false">IFERROR(VLOOKUP(D146,Role_Mapping!$A$5:$D$31,3,FALSE()),"IN")</f>
        <v>IN</v>
      </c>
      <c r="L146" s="15" t="n">
        <f aca="false">IFERROR(SUMPRODUCT((Rate_Card!$A$5:$A$34=J146)*(Rate_Card!$B$5:$B$34=K146)*Rate_Card!$C$5:$C$34),0)</f>
        <v>585</v>
      </c>
      <c r="M146" s="10" t="n">
        <f aca="false">F146*5</f>
        <v>25</v>
      </c>
      <c r="N146" s="16" t="n">
        <f aca="false">L146*M146*H146</f>
        <v>14625</v>
      </c>
      <c r="O146" s="10" t="n">
        <f aca="false">(G146-E146)+1</f>
        <v>36</v>
      </c>
      <c r="P146" s="14" t="str">
        <f aca="false">IFERROR(VLOOKUP(D146,Role_Mapping!$A$5:$D$31,4,FALSE()),"UNMAPPED")</f>
        <v>Consulting</v>
      </c>
      <c r="Q146" s="16" t="n">
        <f aca="false">$N146*MAX(0,(MIN($G146,DATE(2026,7,31))-MAX($E146,DATE(2026,7,1))+1))/$O146</f>
        <v>8125</v>
      </c>
      <c r="R146" s="16" t="n">
        <f aca="false">$N146*MAX(0,(MIN($G146,DATE(2026,8,31))-MAX($E146,DATE(2026,8,1))+1))/$O146</f>
        <v>0</v>
      </c>
      <c r="S146" s="16" t="n">
        <f aca="false">$N146*MAX(0,(MIN($G146,DATE(2026,9,30))-MAX($E146,DATE(2026,9,1))+1))/$O146</f>
        <v>0</v>
      </c>
      <c r="T146" s="16" t="n">
        <f aca="false">$N146*MAX(0,(MIN($G146,DATE(2026,10,31))-MAX($E146,DATE(2026,10,1))+1))/$O146</f>
        <v>0</v>
      </c>
      <c r="U146" s="16" t="n">
        <f aca="false">$N146*MAX(0,(MIN($G146,DATE(2026,11,30))-MAX($E146,DATE(2026,11,1))+1))/$O146</f>
        <v>0</v>
      </c>
      <c r="V146" s="16" t="n">
        <f aca="false">$N146*MAX(0,(MIN($G146,DATE(2026,12,31))-MAX($E146,DATE(2026,12,1))+1))/$O146</f>
        <v>0</v>
      </c>
      <c r="W146" s="17" t="n">
        <f aca="false">$H146*MAX(0,(MIN($G146,DATE(2026,7,31))-MAX($E146,DATE(2026,7,1))+1))/30.4</f>
        <v>0.657894736842105</v>
      </c>
      <c r="X146" s="17" t="n">
        <f aca="false">$H146*MAX(0,(MIN($G146,DATE(2026,8,31))-MAX($E146,DATE(2026,8,1))+1))/30.4</f>
        <v>0</v>
      </c>
      <c r="Y146" s="17" t="n">
        <f aca="false">$H146*MAX(0,(MIN($G146,DATE(2026,9,30))-MAX($E146,DATE(2026,9,1))+1))/30.4</f>
        <v>0</v>
      </c>
      <c r="Z146" s="17" t="n">
        <f aca="false">$H146*MAX(0,(MIN($G146,DATE(2026,10,31))-MAX($E146,DATE(2026,10,1))+1))/30.4</f>
        <v>0</v>
      </c>
      <c r="AA146" s="17" t="n">
        <f aca="false">$H146*MAX(0,(MIN($G146,DATE(2026,11,30))-MAX($E146,DATE(2026,11,1))+1))/30.4</f>
        <v>0</v>
      </c>
      <c r="AB146" s="17" t="n">
        <f aca="false">$H146*MAX(0,(MIN($G146,DATE(2026,12,31))-MAX($E146,DATE(2026,12,1))+1))/30.4</f>
        <v>0</v>
      </c>
    </row>
    <row r="147" customFormat="false" ht="15" hidden="false" customHeight="false" outlineLevel="0" collapsed="false">
      <c r="A147" s="10" t="n">
        <v>96</v>
      </c>
      <c r="B147" s="10" t="n">
        <v>4</v>
      </c>
      <c r="C147" s="10"/>
      <c r="D147" s="10" t="s">
        <v>76</v>
      </c>
      <c r="E147" s="12" t="n">
        <v>46188</v>
      </c>
      <c r="F147" s="10" t="n">
        <v>5</v>
      </c>
      <c r="G147" s="12" t="n">
        <v>46223</v>
      </c>
      <c r="H147" s="13" t="n">
        <v>1</v>
      </c>
      <c r="I147" s="10" t="s">
        <v>126</v>
      </c>
      <c r="J147" s="14" t="str">
        <f aca="false">IFERROR(VLOOKUP(D147,Role_Mapping!$A$5:$D$31,2,FALSE()),"UNMAPPED")</f>
        <v>Senior Software Engineer</v>
      </c>
      <c r="K147" s="14" t="str">
        <f aca="false">IFERROR(VLOOKUP(D147,Role_Mapping!$A$5:$D$31,3,FALSE()),"IN")</f>
        <v>IN</v>
      </c>
      <c r="L147" s="15" t="n">
        <f aca="false">IFERROR(SUMPRODUCT((Rate_Card!$A$5:$A$34=J147)*(Rate_Card!$B$5:$B$34=K147)*Rate_Card!$C$5:$C$34),0)</f>
        <v>585</v>
      </c>
      <c r="M147" s="10" t="n">
        <f aca="false">F147*5</f>
        <v>25</v>
      </c>
      <c r="N147" s="16" t="n">
        <f aca="false">L147*M147*H147</f>
        <v>14625</v>
      </c>
      <c r="O147" s="10" t="n">
        <f aca="false">(G147-E147)+1</f>
        <v>36</v>
      </c>
      <c r="P147" s="14" t="str">
        <f aca="false">IFERROR(VLOOKUP(D147,Role_Mapping!$A$5:$D$31,4,FALSE()),"UNMAPPED")</f>
        <v>Full Stack</v>
      </c>
      <c r="Q147" s="16" t="n">
        <f aca="false">$N147*MAX(0,(MIN($G147,DATE(2026,7,31))-MAX($E147,DATE(2026,7,1))+1))/$O147</f>
        <v>8125</v>
      </c>
      <c r="R147" s="16" t="n">
        <f aca="false">$N147*MAX(0,(MIN($G147,DATE(2026,8,31))-MAX($E147,DATE(2026,8,1))+1))/$O147</f>
        <v>0</v>
      </c>
      <c r="S147" s="16" t="n">
        <f aca="false">$N147*MAX(0,(MIN($G147,DATE(2026,9,30))-MAX($E147,DATE(2026,9,1))+1))/$O147</f>
        <v>0</v>
      </c>
      <c r="T147" s="16" t="n">
        <f aca="false">$N147*MAX(0,(MIN($G147,DATE(2026,10,31))-MAX($E147,DATE(2026,10,1))+1))/$O147</f>
        <v>0</v>
      </c>
      <c r="U147" s="16" t="n">
        <f aca="false">$N147*MAX(0,(MIN($G147,DATE(2026,11,30))-MAX($E147,DATE(2026,11,1))+1))/$O147</f>
        <v>0</v>
      </c>
      <c r="V147" s="16" t="n">
        <f aca="false">$N147*MAX(0,(MIN($G147,DATE(2026,12,31))-MAX($E147,DATE(2026,12,1))+1))/$O147</f>
        <v>0</v>
      </c>
      <c r="W147" s="17" t="n">
        <f aca="false">$H147*MAX(0,(MIN($G147,DATE(2026,7,31))-MAX($E147,DATE(2026,7,1))+1))/30.4</f>
        <v>0.657894736842105</v>
      </c>
      <c r="X147" s="17" t="n">
        <f aca="false">$H147*MAX(0,(MIN($G147,DATE(2026,8,31))-MAX($E147,DATE(2026,8,1))+1))/30.4</f>
        <v>0</v>
      </c>
      <c r="Y147" s="17" t="n">
        <f aca="false">$H147*MAX(0,(MIN($G147,DATE(2026,9,30))-MAX($E147,DATE(2026,9,1))+1))/30.4</f>
        <v>0</v>
      </c>
      <c r="Z147" s="17" t="n">
        <f aca="false">$H147*MAX(0,(MIN($G147,DATE(2026,10,31))-MAX($E147,DATE(2026,10,1))+1))/30.4</f>
        <v>0</v>
      </c>
      <c r="AA147" s="17" t="n">
        <f aca="false">$H147*MAX(0,(MIN($G147,DATE(2026,11,30))-MAX($E147,DATE(2026,11,1))+1))/30.4</f>
        <v>0</v>
      </c>
      <c r="AB147" s="17" t="n">
        <f aca="false">$H147*MAX(0,(MIN($G147,DATE(2026,12,31))-MAX($E147,DATE(2026,12,1))+1))/30.4</f>
        <v>0</v>
      </c>
    </row>
    <row r="148" customFormat="false" ht="15" hidden="false" customHeight="false" outlineLevel="0" collapsed="false">
      <c r="A148" s="10" t="n">
        <v>97</v>
      </c>
      <c r="B148" s="10" t="n">
        <v>4</v>
      </c>
      <c r="C148" s="10"/>
      <c r="D148" s="10" t="s">
        <v>58</v>
      </c>
      <c r="E148" s="12" t="n">
        <v>46188</v>
      </c>
      <c r="F148" s="10" t="n">
        <v>5</v>
      </c>
      <c r="G148" s="12" t="n">
        <v>46223</v>
      </c>
      <c r="H148" s="13" t="n">
        <v>1</v>
      </c>
      <c r="I148" s="10" t="s">
        <v>113</v>
      </c>
      <c r="J148" s="14" t="str">
        <f aca="false">IFERROR(VLOOKUP(D148,Role_Mapping!$A$5:$D$31,2,FALSE()),"UNMAPPED")</f>
        <v>Solutions Enabler</v>
      </c>
      <c r="K148" s="14" t="str">
        <f aca="false">IFERROR(VLOOKUP(D148,Role_Mapping!$A$5:$D$31,3,FALSE()),"IN")</f>
        <v>IN</v>
      </c>
      <c r="L148" s="15" t="n">
        <f aca="false">IFERROR(SUMPRODUCT((Rate_Card!$A$5:$A$34=J148)*(Rate_Card!$B$5:$B$34=K148)*Rate_Card!$C$5:$C$34),0)</f>
        <v>683</v>
      </c>
      <c r="M148" s="10" t="n">
        <f aca="false">F148*5</f>
        <v>25</v>
      </c>
      <c r="N148" s="16" t="n">
        <f aca="false">L148*M148*H148</f>
        <v>17075</v>
      </c>
      <c r="O148" s="10" t="n">
        <f aca="false">(G148-E148)+1</f>
        <v>36</v>
      </c>
      <c r="P148" s="14" t="str">
        <f aca="false">IFERROR(VLOOKUP(D148,Role_Mapping!$A$5:$D$31,4,FALSE()),"UNMAPPED")</f>
        <v>Data Engineering</v>
      </c>
      <c r="Q148" s="16" t="n">
        <f aca="false">$N148*MAX(0,(MIN($G148,DATE(2026,7,31))-MAX($E148,DATE(2026,7,1))+1))/$O148</f>
        <v>9486.11111111111</v>
      </c>
      <c r="R148" s="16" t="n">
        <f aca="false">$N148*MAX(0,(MIN($G148,DATE(2026,8,31))-MAX($E148,DATE(2026,8,1))+1))/$O148</f>
        <v>0</v>
      </c>
      <c r="S148" s="16" t="n">
        <f aca="false">$N148*MAX(0,(MIN($G148,DATE(2026,9,30))-MAX($E148,DATE(2026,9,1))+1))/$O148</f>
        <v>0</v>
      </c>
      <c r="T148" s="16" t="n">
        <f aca="false">$N148*MAX(0,(MIN($G148,DATE(2026,10,31))-MAX($E148,DATE(2026,10,1))+1))/$O148</f>
        <v>0</v>
      </c>
      <c r="U148" s="16" t="n">
        <f aca="false">$N148*MAX(0,(MIN($G148,DATE(2026,11,30))-MAX($E148,DATE(2026,11,1))+1))/$O148</f>
        <v>0</v>
      </c>
      <c r="V148" s="16" t="n">
        <f aca="false">$N148*MAX(0,(MIN($G148,DATE(2026,12,31))-MAX($E148,DATE(2026,12,1))+1))/$O148</f>
        <v>0</v>
      </c>
      <c r="W148" s="17" t="n">
        <f aca="false">$H148*MAX(0,(MIN($G148,DATE(2026,7,31))-MAX($E148,DATE(2026,7,1))+1))/30.4</f>
        <v>0.657894736842105</v>
      </c>
      <c r="X148" s="17" t="n">
        <f aca="false">$H148*MAX(0,(MIN($G148,DATE(2026,8,31))-MAX($E148,DATE(2026,8,1))+1))/30.4</f>
        <v>0</v>
      </c>
      <c r="Y148" s="17" t="n">
        <f aca="false">$H148*MAX(0,(MIN($G148,DATE(2026,9,30))-MAX($E148,DATE(2026,9,1))+1))/30.4</f>
        <v>0</v>
      </c>
      <c r="Z148" s="17" t="n">
        <f aca="false">$H148*MAX(0,(MIN($G148,DATE(2026,10,31))-MAX($E148,DATE(2026,10,1))+1))/30.4</f>
        <v>0</v>
      </c>
      <c r="AA148" s="17" t="n">
        <f aca="false">$H148*MAX(0,(MIN($G148,DATE(2026,11,30))-MAX($E148,DATE(2026,11,1))+1))/30.4</f>
        <v>0</v>
      </c>
      <c r="AB148" s="17" t="n">
        <f aca="false">$H148*MAX(0,(MIN($G148,DATE(2026,12,31))-MAX($E148,DATE(2026,12,1))+1))/30.4</f>
        <v>0</v>
      </c>
    </row>
    <row r="149" customFormat="false" ht="15" hidden="false" customHeight="false" outlineLevel="0" collapsed="false">
      <c r="A149" s="10" t="n">
        <v>98</v>
      </c>
      <c r="B149" s="10" t="n">
        <v>4</v>
      </c>
      <c r="C149" s="10"/>
      <c r="D149" s="10" t="s">
        <v>64</v>
      </c>
      <c r="E149" s="12" t="n">
        <v>46188</v>
      </c>
      <c r="F149" s="10" t="n">
        <v>5</v>
      </c>
      <c r="G149" s="12" t="n">
        <v>46223</v>
      </c>
      <c r="H149" s="13" t="n">
        <v>0.25</v>
      </c>
      <c r="I149" s="10" t="s">
        <v>126</v>
      </c>
      <c r="J149" s="14" t="str">
        <f aca="false">IFERROR(VLOOKUP(D149,Role_Mapping!$A$5:$D$31,2,FALSE()),"UNMAPPED")</f>
        <v>Principal Technology Architect</v>
      </c>
      <c r="K149" s="14" t="str">
        <f aca="false">IFERROR(VLOOKUP(D149,Role_Mapping!$A$5:$D$31,3,FALSE()),"IN")</f>
        <v>IN</v>
      </c>
      <c r="L149" s="15" t="n">
        <f aca="false">IFERROR(SUMPRODUCT((Rate_Card!$A$5:$A$34=J149)*(Rate_Card!$B$5:$B$34=K149)*Rate_Card!$C$5:$C$34),0)</f>
        <v>845</v>
      </c>
      <c r="M149" s="10" t="n">
        <f aca="false">F149*5</f>
        <v>25</v>
      </c>
      <c r="N149" s="16" t="n">
        <f aca="false">L149*M149*H149</f>
        <v>5281.25</v>
      </c>
      <c r="O149" s="10" t="n">
        <f aca="false">(G149-E149)+1</f>
        <v>36</v>
      </c>
      <c r="P149" s="14" t="str">
        <f aca="false">IFERROR(VLOOKUP(D149,Role_Mapping!$A$5:$D$31,4,FALSE()),"UNMAPPED")</f>
        <v>Full Stack</v>
      </c>
      <c r="Q149" s="16" t="n">
        <f aca="false">$N149*MAX(0,(MIN($G149,DATE(2026,7,31))-MAX($E149,DATE(2026,7,1))+1))/$O149</f>
        <v>2934.02777777778</v>
      </c>
      <c r="R149" s="16" t="n">
        <f aca="false">$N149*MAX(0,(MIN($G149,DATE(2026,8,31))-MAX($E149,DATE(2026,8,1))+1))/$O149</f>
        <v>0</v>
      </c>
      <c r="S149" s="16" t="n">
        <f aca="false">$N149*MAX(0,(MIN($G149,DATE(2026,9,30))-MAX($E149,DATE(2026,9,1))+1))/$O149</f>
        <v>0</v>
      </c>
      <c r="T149" s="16" t="n">
        <f aca="false">$N149*MAX(0,(MIN($G149,DATE(2026,10,31))-MAX($E149,DATE(2026,10,1))+1))/$O149</f>
        <v>0</v>
      </c>
      <c r="U149" s="16" t="n">
        <f aca="false">$N149*MAX(0,(MIN($G149,DATE(2026,11,30))-MAX($E149,DATE(2026,11,1))+1))/$O149</f>
        <v>0</v>
      </c>
      <c r="V149" s="16" t="n">
        <f aca="false">$N149*MAX(0,(MIN($G149,DATE(2026,12,31))-MAX($E149,DATE(2026,12,1))+1))/$O149</f>
        <v>0</v>
      </c>
      <c r="W149" s="17" t="n">
        <f aca="false">$H149*MAX(0,(MIN($G149,DATE(2026,7,31))-MAX($E149,DATE(2026,7,1))+1))/30.4</f>
        <v>0.164473684210526</v>
      </c>
      <c r="X149" s="17" t="n">
        <f aca="false">$H149*MAX(0,(MIN($G149,DATE(2026,8,31))-MAX($E149,DATE(2026,8,1))+1))/30.4</f>
        <v>0</v>
      </c>
      <c r="Y149" s="17" t="n">
        <f aca="false">$H149*MAX(0,(MIN($G149,DATE(2026,9,30))-MAX($E149,DATE(2026,9,1))+1))/30.4</f>
        <v>0</v>
      </c>
      <c r="Z149" s="17" t="n">
        <f aca="false">$H149*MAX(0,(MIN($G149,DATE(2026,10,31))-MAX($E149,DATE(2026,10,1))+1))/30.4</f>
        <v>0</v>
      </c>
      <c r="AA149" s="17" t="n">
        <f aca="false">$H149*MAX(0,(MIN($G149,DATE(2026,11,30))-MAX($E149,DATE(2026,11,1))+1))/30.4</f>
        <v>0</v>
      </c>
      <c r="AB149" s="17" t="n">
        <f aca="false">$H149*MAX(0,(MIN($G149,DATE(2026,12,31))-MAX($E149,DATE(2026,12,1))+1))/30.4</f>
        <v>0</v>
      </c>
    </row>
    <row r="150" customFormat="false" ht="15" hidden="false" customHeight="false" outlineLevel="0" collapsed="false">
      <c r="A150" s="10" t="n">
        <v>99</v>
      </c>
      <c r="B150" s="10" t="n">
        <v>4</v>
      </c>
      <c r="C150" s="10"/>
      <c r="D150" s="10" t="s">
        <v>75</v>
      </c>
      <c r="E150" s="12" t="n">
        <v>46188</v>
      </c>
      <c r="F150" s="10" t="n">
        <v>5</v>
      </c>
      <c r="G150" s="12" t="n">
        <v>46223</v>
      </c>
      <c r="H150" s="13" t="n">
        <v>1</v>
      </c>
      <c r="I150" s="10" t="s">
        <v>126</v>
      </c>
      <c r="J150" s="14" t="str">
        <f aca="false">IFERROR(VLOOKUP(D150,Role_Mapping!$A$5:$D$31,2,FALSE()),"UNMAPPED")</f>
        <v>Software Engineer</v>
      </c>
      <c r="K150" s="14" t="str">
        <f aca="false">IFERROR(VLOOKUP(D150,Role_Mapping!$A$5:$D$31,3,FALSE()),"IN")</f>
        <v>IN</v>
      </c>
      <c r="L150" s="15" t="n">
        <f aca="false">IFERROR(SUMPRODUCT((Rate_Card!$A$5:$A$34=J150)*(Rate_Card!$B$5:$B$34=K150)*Rate_Card!$C$5:$C$34),0)</f>
        <v>455</v>
      </c>
      <c r="M150" s="10" t="n">
        <f aca="false">F150*5</f>
        <v>25</v>
      </c>
      <c r="N150" s="16" t="n">
        <f aca="false">L150*M150*H150</f>
        <v>11375</v>
      </c>
      <c r="O150" s="10" t="n">
        <f aca="false">(G150-E150)+1</f>
        <v>36</v>
      </c>
      <c r="P150" s="14" t="str">
        <f aca="false">IFERROR(VLOOKUP(D150,Role_Mapping!$A$5:$D$31,4,FALSE()),"UNMAPPED")</f>
        <v>Full Stack</v>
      </c>
      <c r="Q150" s="16" t="n">
        <f aca="false">$N150*MAX(0,(MIN($G150,DATE(2026,7,31))-MAX($E150,DATE(2026,7,1))+1))/$O150</f>
        <v>6319.44444444444</v>
      </c>
      <c r="R150" s="16" t="n">
        <f aca="false">$N150*MAX(0,(MIN($G150,DATE(2026,8,31))-MAX($E150,DATE(2026,8,1))+1))/$O150</f>
        <v>0</v>
      </c>
      <c r="S150" s="16" t="n">
        <f aca="false">$N150*MAX(0,(MIN($G150,DATE(2026,9,30))-MAX($E150,DATE(2026,9,1))+1))/$O150</f>
        <v>0</v>
      </c>
      <c r="T150" s="16" t="n">
        <f aca="false">$N150*MAX(0,(MIN($G150,DATE(2026,10,31))-MAX($E150,DATE(2026,10,1))+1))/$O150</f>
        <v>0</v>
      </c>
      <c r="U150" s="16" t="n">
        <f aca="false">$N150*MAX(0,(MIN($G150,DATE(2026,11,30))-MAX($E150,DATE(2026,11,1))+1))/$O150</f>
        <v>0</v>
      </c>
      <c r="V150" s="16" t="n">
        <f aca="false">$N150*MAX(0,(MIN($G150,DATE(2026,12,31))-MAX($E150,DATE(2026,12,1))+1))/$O150</f>
        <v>0</v>
      </c>
      <c r="W150" s="17" t="n">
        <f aca="false">$H150*MAX(0,(MIN($G150,DATE(2026,7,31))-MAX($E150,DATE(2026,7,1))+1))/30.4</f>
        <v>0.657894736842105</v>
      </c>
      <c r="X150" s="17" t="n">
        <f aca="false">$H150*MAX(0,(MIN($G150,DATE(2026,8,31))-MAX($E150,DATE(2026,8,1))+1))/30.4</f>
        <v>0</v>
      </c>
      <c r="Y150" s="17" t="n">
        <f aca="false">$H150*MAX(0,(MIN($G150,DATE(2026,9,30))-MAX($E150,DATE(2026,9,1))+1))/30.4</f>
        <v>0</v>
      </c>
      <c r="Z150" s="17" t="n">
        <f aca="false">$H150*MAX(0,(MIN($G150,DATE(2026,10,31))-MAX($E150,DATE(2026,10,1))+1))/30.4</f>
        <v>0</v>
      </c>
      <c r="AA150" s="17" t="n">
        <f aca="false">$H150*MAX(0,(MIN($G150,DATE(2026,11,30))-MAX($E150,DATE(2026,11,1))+1))/30.4</f>
        <v>0</v>
      </c>
      <c r="AB150" s="17" t="n">
        <f aca="false">$H150*MAX(0,(MIN($G150,DATE(2026,12,31))-MAX($E150,DATE(2026,12,1))+1))/30.4</f>
        <v>0</v>
      </c>
    </row>
    <row r="151" customFormat="false" ht="15" hidden="false" customHeight="false" outlineLevel="0" collapsed="false">
      <c r="A151" s="10" t="n">
        <v>100</v>
      </c>
      <c r="B151" s="10" t="n">
        <v>4</v>
      </c>
      <c r="C151" s="10"/>
      <c r="D151" s="10" t="s">
        <v>80</v>
      </c>
      <c r="E151" s="12" t="n">
        <v>46195</v>
      </c>
      <c r="F151" s="10" t="n">
        <v>5</v>
      </c>
      <c r="G151" s="12" t="n">
        <v>46230</v>
      </c>
      <c r="H151" s="13" t="n">
        <v>0.5</v>
      </c>
      <c r="I151" s="10" t="s">
        <v>126</v>
      </c>
      <c r="J151" s="14" t="str">
        <f aca="false">IFERROR(VLOOKUP(D151,Role_Mapping!$A$5:$D$31,2,FALSE()),"UNMAPPED")</f>
        <v>Solutions Consultant</v>
      </c>
      <c r="K151" s="14" t="str">
        <f aca="false">IFERROR(VLOOKUP(D151,Role_Mapping!$A$5:$D$31,3,FALSE()),"IN")</f>
        <v>IN</v>
      </c>
      <c r="L151" s="15" t="n">
        <f aca="false">IFERROR(SUMPRODUCT((Rate_Card!$A$5:$A$34=J151)*(Rate_Card!$B$5:$B$34=K151)*Rate_Card!$C$5:$C$34),0)</f>
        <v>683</v>
      </c>
      <c r="M151" s="10" t="n">
        <f aca="false">F151*5</f>
        <v>25</v>
      </c>
      <c r="N151" s="16" t="n">
        <f aca="false">L151*M151*H151</f>
        <v>8537.5</v>
      </c>
      <c r="O151" s="10" t="n">
        <f aca="false">(G151-E151)+1</f>
        <v>36</v>
      </c>
      <c r="P151" s="14" t="str">
        <f aca="false">IFERROR(VLOOKUP(D151,Role_Mapping!$A$5:$D$31,4,FALSE()),"UNMAPPED")</f>
        <v>Power BI &amp; Consulting</v>
      </c>
      <c r="Q151" s="16" t="n">
        <f aca="false">$N151*MAX(0,(MIN($G151,DATE(2026,7,31))-MAX($E151,DATE(2026,7,1))+1))/$O151</f>
        <v>6403.125</v>
      </c>
      <c r="R151" s="16" t="n">
        <f aca="false">$N151*MAX(0,(MIN($G151,DATE(2026,8,31))-MAX($E151,DATE(2026,8,1))+1))/$O151</f>
        <v>0</v>
      </c>
      <c r="S151" s="16" t="n">
        <f aca="false">$N151*MAX(0,(MIN($G151,DATE(2026,9,30))-MAX($E151,DATE(2026,9,1))+1))/$O151</f>
        <v>0</v>
      </c>
      <c r="T151" s="16" t="n">
        <f aca="false">$N151*MAX(0,(MIN($G151,DATE(2026,10,31))-MAX($E151,DATE(2026,10,1))+1))/$O151</f>
        <v>0</v>
      </c>
      <c r="U151" s="16" t="n">
        <f aca="false">$N151*MAX(0,(MIN($G151,DATE(2026,11,30))-MAX($E151,DATE(2026,11,1))+1))/$O151</f>
        <v>0</v>
      </c>
      <c r="V151" s="16" t="n">
        <f aca="false">$N151*MAX(0,(MIN($G151,DATE(2026,12,31))-MAX($E151,DATE(2026,12,1))+1))/$O151</f>
        <v>0</v>
      </c>
      <c r="W151" s="17" t="n">
        <f aca="false">$H151*MAX(0,(MIN($G151,DATE(2026,7,31))-MAX($E151,DATE(2026,7,1))+1))/30.4</f>
        <v>0.444078947368421</v>
      </c>
      <c r="X151" s="17" t="n">
        <f aca="false">$H151*MAX(0,(MIN($G151,DATE(2026,8,31))-MAX($E151,DATE(2026,8,1))+1))/30.4</f>
        <v>0</v>
      </c>
      <c r="Y151" s="17" t="n">
        <f aca="false">$H151*MAX(0,(MIN($G151,DATE(2026,9,30))-MAX($E151,DATE(2026,9,1))+1))/30.4</f>
        <v>0</v>
      </c>
      <c r="Z151" s="17" t="n">
        <f aca="false">$H151*MAX(0,(MIN($G151,DATE(2026,10,31))-MAX($E151,DATE(2026,10,1))+1))/30.4</f>
        <v>0</v>
      </c>
      <c r="AA151" s="17" t="n">
        <f aca="false">$H151*MAX(0,(MIN($G151,DATE(2026,11,30))-MAX($E151,DATE(2026,11,1))+1))/30.4</f>
        <v>0</v>
      </c>
      <c r="AB151" s="17" t="n">
        <f aca="false">$H151*MAX(0,(MIN($G151,DATE(2026,12,31))-MAX($E151,DATE(2026,12,1))+1))/30.4</f>
        <v>0</v>
      </c>
    </row>
    <row r="152" customFormat="false" ht="15" hidden="false" customHeight="false" outlineLevel="0" collapsed="false">
      <c r="A152" s="10" t="n">
        <v>101</v>
      </c>
      <c r="B152" s="10" t="n">
        <v>4</v>
      </c>
      <c r="C152" s="10"/>
      <c r="D152" s="10" t="s">
        <v>76</v>
      </c>
      <c r="E152" s="12" t="n">
        <v>46195</v>
      </c>
      <c r="F152" s="10" t="n">
        <v>5</v>
      </c>
      <c r="G152" s="12" t="n">
        <v>46230</v>
      </c>
      <c r="H152" s="13" t="n">
        <v>1</v>
      </c>
      <c r="I152" s="10" t="s">
        <v>113</v>
      </c>
      <c r="J152" s="14" t="str">
        <f aca="false">IFERROR(VLOOKUP(D152,Role_Mapping!$A$5:$D$31,2,FALSE()),"UNMAPPED")</f>
        <v>Senior Software Engineer</v>
      </c>
      <c r="K152" s="14" t="str">
        <f aca="false">IFERROR(VLOOKUP(D152,Role_Mapping!$A$5:$D$31,3,FALSE()),"IN")</f>
        <v>IN</v>
      </c>
      <c r="L152" s="15" t="n">
        <f aca="false">IFERROR(SUMPRODUCT((Rate_Card!$A$5:$A$34=J152)*(Rate_Card!$B$5:$B$34=K152)*Rate_Card!$C$5:$C$34),0)</f>
        <v>585</v>
      </c>
      <c r="M152" s="10" t="n">
        <f aca="false">F152*5</f>
        <v>25</v>
      </c>
      <c r="N152" s="16" t="n">
        <f aca="false">L152*M152*H152</f>
        <v>14625</v>
      </c>
      <c r="O152" s="10" t="n">
        <f aca="false">(G152-E152)+1</f>
        <v>36</v>
      </c>
      <c r="P152" s="14" t="str">
        <f aca="false">IFERROR(VLOOKUP(D152,Role_Mapping!$A$5:$D$31,4,FALSE()),"UNMAPPED")</f>
        <v>Full Stack</v>
      </c>
      <c r="Q152" s="16" t="n">
        <f aca="false">$N152*MAX(0,(MIN($G152,DATE(2026,7,31))-MAX($E152,DATE(2026,7,1))+1))/$O152</f>
        <v>10968.75</v>
      </c>
      <c r="R152" s="16" t="n">
        <f aca="false">$N152*MAX(0,(MIN($G152,DATE(2026,8,31))-MAX($E152,DATE(2026,8,1))+1))/$O152</f>
        <v>0</v>
      </c>
      <c r="S152" s="16" t="n">
        <f aca="false">$N152*MAX(0,(MIN($G152,DATE(2026,9,30))-MAX($E152,DATE(2026,9,1))+1))/$O152</f>
        <v>0</v>
      </c>
      <c r="T152" s="16" t="n">
        <f aca="false">$N152*MAX(0,(MIN($G152,DATE(2026,10,31))-MAX($E152,DATE(2026,10,1))+1))/$O152</f>
        <v>0</v>
      </c>
      <c r="U152" s="16" t="n">
        <f aca="false">$N152*MAX(0,(MIN($G152,DATE(2026,11,30))-MAX($E152,DATE(2026,11,1))+1))/$O152</f>
        <v>0</v>
      </c>
      <c r="V152" s="16" t="n">
        <f aca="false">$N152*MAX(0,(MIN($G152,DATE(2026,12,31))-MAX($E152,DATE(2026,12,1))+1))/$O152</f>
        <v>0</v>
      </c>
      <c r="W152" s="17" t="n">
        <f aca="false">$H152*MAX(0,(MIN($G152,DATE(2026,7,31))-MAX($E152,DATE(2026,7,1))+1))/30.4</f>
        <v>0.888157894736842</v>
      </c>
      <c r="X152" s="17" t="n">
        <f aca="false">$H152*MAX(0,(MIN($G152,DATE(2026,8,31))-MAX($E152,DATE(2026,8,1))+1))/30.4</f>
        <v>0</v>
      </c>
      <c r="Y152" s="17" t="n">
        <f aca="false">$H152*MAX(0,(MIN($G152,DATE(2026,9,30))-MAX($E152,DATE(2026,9,1))+1))/30.4</f>
        <v>0</v>
      </c>
      <c r="Z152" s="17" t="n">
        <f aca="false">$H152*MAX(0,(MIN($G152,DATE(2026,10,31))-MAX($E152,DATE(2026,10,1))+1))/30.4</f>
        <v>0</v>
      </c>
      <c r="AA152" s="17" t="n">
        <f aca="false">$H152*MAX(0,(MIN($G152,DATE(2026,11,30))-MAX($E152,DATE(2026,11,1))+1))/30.4</f>
        <v>0</v>
      </c>
      <c r="AB152" s="17" t="n">
        <f aca="false">$H152*MAX(0,(MIN($G152,DATE(2026,12,31))-MAX($E152,DATE(2026,12,1))+1))/30.4</f>
        <v>0</v>
      </c>
    </row>
    <row r="153" customFormat="false" ht="15" hidden="false" customHeight="false" outlineLevel="0" collapsed="false">
      <c r="A153" s="10" t="n">
        <v>102</v>
      </c>
      <c r="B153" s="10" t="n">
        <v>4</v>
      </c>
      <c r="C153" s="10"/>
      <c r="D153" s="10" t="s">
        <v>75</v>
      </c>
      <c r="E153" s="12" t="n">
        <v>46195</v>
      </c>
      <c r="F153" s="10" t="n">
        <v>5</v>
      </c>
      <c r="G153" s="12" t="n">
        <v>46230</v>
      </c>
      <c r="H153" s="13" t="n">
        <v>1</v>
      </c>
      <c r="I153" s="10" t="s">
        <v>113</v>
      </c>
      <c r="J153" s="14" t="str">
        <f aca="false">IFERROR(VLOOKUP(D153,Role_Mapping!$A$5:$D$31,2,FALSE()),"UNMAPPED")</f>
        <v>Software Engineer</v>
      </c>
      <c r="K153" s="14" t="str">
        <f aca="false">IFERROR(VLOOKUP(D153,Role_Mapping!$A$5:$D$31,3,FALSE()),"IN")</f>
        <v>IN</v>
      </c>
      <c r="L153" s="15" t="n">
        <f aca="false">IFERROR(SUMPRODUCT((Rate_Card!$A$5:$A$34=J153)*(Rate_Card!$B$5:$B$34=K153)*Rate_Card!$C$5:$C$34),0)</f>
        <v>455</v>
      </c>
      <c r="M153" s="10" t="n">
        <f aca="false">F153*5</f>
        <v>25</v>
      </c>
      <c r="N153" s="16" t="n">
        <f aca="false">L153*M153*H153</f>
        <v>11375</v>
      </c>
      <c r="O153" s="10" t="n">
        <f aca="false">(G153-E153)+1</f>
        <v>36</v>
      </c>
      <c r="P153" s="14" t="str">
        <f aca="false">IFERROR(VLOOKUP(D153,Role_Mapping!$A$5:$D$31,4,FALSE()),"UNMAPPED")</f>
        <v>Full Stack</v>
      </c>
      <c r="Q153" s="16" t="n">
        <f aca="false">$N153*MAX(0,(MIN($G153,DATE(2026,7,31))-MAX($E153,DATE(2026,7,1))+1))/$O153</f>
        <v>8531.25</v>
      </c>
      <c r="R153" s="16" t="n">
        <f aca="false">$N153*MAX(0,(MIN($G153,DATE(2026,8,31))-MAX($E153,DATE(2026,8,1))+1))/$O153</f>
        <v>0</v>
      </c>
      <c r="S153" s="16" t="n">
        <f aca="false">$N153*MAX(0,(MIN($G153,DATE(2026,9,30))-MAX($E153,DATE(2026,9,1))+1))/$O153</f>
        <v>0</v>
      </c>
      <c r="T153" s="16" t="n">
        <f aca="false">$N153*MAX(0,(MIN($G153,DATE(2026,10,31))-MAX($E153,DATE(2026,10,1))+1))/$O153</f>
        <v>0</v>
      </c>
      <c r="U153" s="16" t="n">
        <f aca="false">$N153*MAX(0,(MIN($G153,DATE(2026,11,30))-MAX($E153,DATE(2026,11,1))+1))/$O153</f>
        <v>0</v>
      </c>
      <c r="V153" s="16" t="n">
        <f aca="false">$N153*MAX(0,(MIN($G153,DATE(2026,12,31))-MAX($E153,DATE(2026,12,1))+1))/$O153</f>
        <v>0</v>
      </c>
      <c r="W153" s="17" t="n">
        <f aca="false">$H153*MAX(0,(MIN($G153,DATE(2026,7,31))-MAX($E153,DATE(2026,7,1))+1))/30.4</f>
        <v>0.888157894736842</v>
      </c>
      <c r="X153" s="17" t="n">
        <f aca="false">$H153*MAX(0,(MIN($G153,DATE(2026,8,31))-MAX($E153,DATE(2026,8,1))+1))/30.4</f>
        <v>0</v>
      </c>
      <c r="Y153" s="17" t="n">
        <f aca="false">$H153*MAX(0,(MIN($G153,DATE(2026,9,30))-MAX($E153,DATE(2026,9,1))+1))/30.4</f>
        <v>0</v>
      </c>
      <c r="Z153" s="17" t="n">
        <f aca="false">$H153*MAX(0,(MIN($G153,DATE(2026,10,31))-MAX($E153,DATE(2026,10,1))+1))/30.4</f>
        <v>0</v>
      </c>
      <c r="AA153" s="17" t="n">
        <f aca="false">$H153*MAX(0,(MIN($G153,DATE(2026,11,30))-MAX($E153,DATE(2026,11,1))+1))/30.4</f>
        <v>0</v>
      </c>
      <c r="AB153" s="17" t="n">
        <f aca="false">$H153*MAX(0,(MIN($G153,DATE(2026,12,31))-MAX($E153,DATE(2026,12,1))+1))/30.4</f>
        <v>0</v>
      </c>
    </row>
    <row r="154" customFormat="false" ht="15" hidden="false" customHeight="false" outlineLevel="0" collapsed="false">
      <c r="A154" s="10" t="n">
        <v>103</v>
      </c>
      <c r="B154" s="10" t="n">
        <v>4</v>
      </c>
      <c r="C154" s="10" t="s">
        <v>142</v>
      </c>
      <c r="D154" s="10" t="s">
        <v>76</v>
      </c>
      <c r="E154" s="12" t="n">
        <v>46237</v>
      </c>
      <c r="F154" s="10" t="n">
        <v>5</v>
      </c>
      <c r="G154" s="12" t="n">
        <v>46272</v>
      </c>
      <c r="H154" s="13" t="n">
        <v>1</v>
      </c>
      <c r="I154" s="10" t="s">
        <v>113</v>
      </c>
      <c r="J154" s="14" t="str">
        <f aca="false">IFERROR(VLOOKUP(D154,Role_Mapping!$A$5:$D$31,2,FALSE()),"UNMAPPED")</f>
        <v>Senior Software Engineer</v>
      </c>
      <c r="K154" s="14" t="str">
        <f aca="false">IFERROR(VLOOKUP(D154,Role_Mapping!$A$5:$D$31,3,FALSE()),"IN")</f>
        <v>IN</v>
      </c>
      <c r="L154" s="15" t="n">
        <f aca="false">IFERROR(SUMPRODUCT((Rate_Card!$A$5:$A$34=J154)*(Rate_Card!$B$5:$B$34=K154)*Rate_Card!$C$5:$C$34),0)</f>
        <v>585</v>
      </c>
      <c r="M154" s="10" t="n">
        <f aca="false">F154*5</f>
        <v>25</v>
      </c>
      <c r="N154" s="16" t="n">
        <f aca="false">L154*M154*H154</f>
        <v>14625</v>
      </c>
      <c r="O154" s="10" t="n">
        <f aca="false">(G154-E154)+1</f>
        <v>36</v>
      </c>
      <c r="P154" s="14" t="str">
        <f aca="false">IFERROR(VLOOKUP(D154,Role_Mapping!$A$5:$D$31,4,FALSE()),"UNMAPPED")</f>
        <v>Full Stack</v>
      </c>
      <c r="Q154" s="16" t="n">
        <f aca="false">$N154*MAX(0,(MIN($G154,DATE(2026,7,31))-MAX($E154,DATE(2026,7,1))+1))/$O154</f>
        <v>0</v>
      </c>
      <c r="R154" s="16" t="n">
        <f aca="false">$N154*MAX(0,(MIN($G154,DATE(2026,8,31))-MAX($E154,DATE(2026,8,1))+1))/$O154</f>
        <v>11781.25</v>
      </c>
      <c r="S154" s="16" t="n">
        <f aca="false">$N154*MAX(0,(MIN($G154,DATE(2026,9,30))-MAX($E154,DATE(2026,9,1))+1))/$O154</f>
        <v>2843.75</v>
      </c>
      <c r="T154" s="16" t="n">
        <f aca="false">$N154*MAX(0,(MIN($G154,DATE(2026,10,31))-MAX($E154,DATE(2026,10,1))+1))/$O154</f>
        <v>0</v>
      </c>
      <c r="U154" s="16" t="n">
        <f aca="false">$N154*MAX(0,(MIN($G154,DATE(2026,11,30))-MAX($E154,DATE(2026,11,1))+1))/$O154</f>
        <v>0</v>
      </c>
      <c r="V154" s="16" t="n">
        <f aca="false">$N154*MAX(0,(MIN($G154,DATE(2026,12,31))-MAX($E154,DATE(2026,12,1))+1))/$O154</f>
        <v>0</v>
      </c>
      <c r="W154" s="17" t="n">
        <f aca="false">$H154*MAX(0,(MIN($G154,DATE(2026,7,31))-MAX($E154,DATE(2026,7,1))+1))/30.4</f>
        <v>0</v>
      </c>
      <c r="X154" s="17" t="n">
        <f aca="false">$H154*MAX(0,(MIN($G154,DATE(2026,8,31))-MAX($E154,DATE(2026,8,1))+1))/30.4</f>
        <v>0.953947368421053</v>
      </c>
      <c r="Y154" s="17" t="n">
        <f aca="false">$H154*MAX(0,(MIN($G154,DATE(2026,9,30))-MAX($E154,DATE(2026,9,1))+1))/30.4</f>
        <v>0.230263157894737</v>
      </c>
      <c r="Z154" s="17" t="n">
        <f aca="false">$H154*MAX(0,(MIN($G154,DATE(2026,10,31))-MAX($E154,DATE(2026,10,1))+1))/30.4</f>
        <v>0</v>
      </c>
      <c r="AA154" s="17" t="n">
        <f aca="false">$H154*MAX(0,(MIN($G154,DATE(2026,11,30))-MAX($E154,DATE(2026,11,1))+1))/30.4</f>
        <v>0</v>
      </c>
      <c r="AB154" s="17" t="n">
        <f aca="false">$H154*MAX(0,(MIN($G154,DATE(2026,12,31))-MAX($E154,DATE(2026,12,1))+1))/30.4</f>
        <v>0</v>
      </c>
    </row>
    <row r="155" customFormat="false" ht="15" hidden="false" customHeight="false" outlineLevel="0" collapsed="false">
      <c r="A155" s="10" t="n">
        <v>104</v>
      </c>
      <c r="B155" s="10" t="n">
        <v>2</v>
      </c>
      <c r="C155" s="10" t="s">
        <v>143</v>
      </c>
      <c r="D155" s="10" t="s">
        <v>80</v>
      </c>
      <c r="E155" s="12" t="n">
        <v>46195</v>
      </c>
      <c r="F155" s="10" t="n">
        <v>5</v>
      </c>
      <c r="G155" s="12" t="n">
        <v>46230</v>
      </c>
      <c r="H155" s="13" t="n">
        <v>1</v>
      </c>
      <c r="I155" s="10" t="s">
        <v>113</v>
      </c>
      <c r="J155" s="14" t="str">
        <f aca="false">IFERROR(VLOOKUP(D155,Role_Mapping!$A$5:$D$31,2,FALSE()),"UNMAPPED")</f>
        <v>Solutions Consultant</v>
      </c>
      <c r="K155" s="14" t="str">
        <f aca="false">IFERROR(VLOOKUP(D155,Role_Mapping!$A$5:$D$31,3,FALSE()),"IN")</f>
        <v>IN</v>
      </c>
      <c r="L155" s="15" t="n">
        <f aca="false">IFERROR(SUMPRODUCT((Rate_Card!$A$5:$A$34=J155)*(Rate_Card!$B$5:$B$34=K155)*Rate_Card!$C$5:$C$34),0)</f>
        <v>683</v>
      </c>
      <c r="M155" s="10" t="n">
        <f aca="false">F155*5</f>
        <v>25</v>
      </c>
      <c r="N155" s="16" t="n">
        <f aca="false">L155*M155*H155</f>
        <v>17075</v>
      </c>
      <c r="O155" s="10" t="n">
        <f aca="false">(G155-E155)+1</f>
        <v>36</v>
      </c>
      <c r="P155" s="14" t="str">
        <f aca="false">IFERROR(VLOOKUP(D155,Role_Mapping!$A$5:$D$31,4,FALSE()),"UNMAPPED")</f>
        <v>Power BI &amp; Consulting</v>
      </c>
      <c r="Q155" s="16" t="n">
        <f aca="false">$N155*MAX(0,(MIN($G155,DATE(2026,7,31))-MAX($E155,DATE(2026,7,1))+1))/$O155</f>
        <v>12806.25</v>
      </c>
      <c r="R155" s="16" t="n">
        <f aca="false">$N155*MAX(0,(MIN($G155,DATE(2026,8,31))-MAX($E155,DATE(2026,8,1))+1))/$O155</f>
        <v>0</v>
      </c>
      <c r="S155" s="16" t="n">
        <f aca="false">$N155*MAX(0,(MIN($G155,DATE(2026,9,30))-MAX($E155,DATE(2026,9,1))+1))/$O155</f>
        <v>0</v>
      </c>
      <c r="T155" s="16" t="n">
        <f aca="false">$N155*MAX(0,(MIN($G155,DATE(2026,10,31))-MAX($E155,DATE(2026,10,1))+1))/$O155</f>
        <v>0</v>
      </c>
      <c r="U155" s="16" t="n">
        <f aca="false">$N155*MAX(0,(MIN($G155,DATE(2026,11,30))-MAX($E155,DATE(2026,11,1))+1))/$O155</f>
        <v>0</v>
      </c>
      <c r="V155" s="16" t="n">
        <f aca="false">$N155*MAX(0,(MIN($G155,DATE(2026,12,31))-MAX($E155,DATE(2026,12,1))+1))/$O155</f>
        <v>0</v>
      </c>
      <c r="W155" s="17" t="n">
        <f aca="false">$H155*MAX(0,(MIN($G155,DATE(2026,7,31))-MAX($E155,DATE(2026,7,1))+1))/30.4</f>
        <v>0.888157894736842</v>
      </c>
      <c r="X155" s="17" t="n">
        <f aca="false">$H155*MAX(0,(MIN($G155,DATE(2026,8,31))-MAX($E155,DATE(2026,8,1))+1))/30.4</f>
        <v>0</v>
      </c>
      <c r="Y155" s="17" t="n">
        <f aca="false">$H155*MAX(0,(MIN($G155,DATE(2026,9,30))-MAX($E155,DATE(2026,9,1))+1))/30.4</f>
        <v>0</v>
      </c>
      <c r="Z155" s="17" t="n">
        <f aca="false">$H155*MAX(0,(MIN($G155,DATE(2026,10,31))-MAX($E155,DATE(2026,10,1))+1))/30.4</f>
        <v>0</v>
      </c>
      <c r="AA155" s="17" t="n">
        <f aca="false">$H155*MAX(0,(MIN($G155,DATE(2026,11,30))-MAX($E155,DATE(2026,11,1))+1))/30.4</f>
        <v>0</v>
      </c>
      <c r="AB155" s="17" t="n">
        <f aca="false">$H155*MAX(0,(MIN($G155,DATE(2026,12,31))-MAX($E155,DATE(2026,12,1))+1))/30.4</f>
        <v>0</v>
      </c>
    </row>
    <row r="156" customFormat="false" ht="15" hidden="false" customHeight="false" outlineLevel="0" collapsed="false">
      <c r="A156" s="10" t="n">
        <v>105</v>
      </c>
      <c r="B156" s="10" t="n">
        <v>2</v>
      </c>
      <c r="C156" s="10"/>
      <c r="D156" s="10" t="s">
        <v>58</v>
      </c>
      <c r="E156" s="12" t="n">
        <v>46204</v>
      </c>
      <c r="F156" s="10" t="n">
        <v>5</v>
      </c>
      <c r="G156" s="12" t="n">
        <v>46239</v>
      </c>
      <c r="H156" s="13" t="n">
        <v>1</v>
      </c>
      <c r="I156" s="10" t="s">
        <v>113</v>
      </c>
      <c r="J156" s="14" t="str">
        <f aca="false">IFERROR(VLOOKUP(D156,Role_Mapping!$A$5:$D$31,2,FALSE()),"UNMAPPED")</f>
        <v>Solutions Enabler</v>
      </c>
      <c r="K156" s="14" t="str">
        <f aca="false">IFERROR(VLOOKUP(D156,Role_Mapping!$A$5:$D$31,3,FALSE()),"IN")</f>
        <v>IN</v>
      </c>
      <c r="L156" s="15" t="n">
        <f aca="false">IFERROR(SUMPRODUCT((Rate_Card!$A$5:$A$34=J156)*(Rate_Card!$B$5:$B$34=K156)*Rate_Card!$C$5:$C$34),0)</f>
        <v>683</v>
      </c>
      <c r="M156" s="10" t="n">
        <f aca="false">F156*5</f>
        <v>25</v>
      </c>
      <c r="N156" s="16" t="n">
        <f aca="false">L156*M156*H156</f>
        <v>17075</v>
      </c>
      <c r="O156" s="10" t="n">
        <f aca="false">(G156-E156)+1</f>
        <v>36</v>
      </c>
      <c r="P156" s="14" t="str">
        <f aca="false">IFERROR(VLOOKUP(D156,Role_Mapping!$A$5:$D$31,4,FALSE()),"UNMAPPED")</f>
        <v>Data Engineering</v>
      </c>
      <c r="Q156" s="16" t="n">
        <f aca="false">$N156*MAX(0,(MIN($G156,DATE(2026,7,31))-MAX($E156,DATE(2026,7,1))+1))/$O156</f>
        <v>14703.4722222222</v>
      </c>
      <c r="R156" s="16" t="n">
        <f aca="false">$N156*MAX(0,(MIN($G156,DATE(2026,8,31))-MAX($E156,DATE(2026,8,1))+1))/$O156</f>
        <v>2371.52777777778</v>
      </c>
      <c r="S156" s="16" t="n">
        <f aca="false">$N156*MAX(0,(MIN($G156,DATE(2026,9,30))-MAX($E156,DATE(2026,9,1))+1))/$O156</f>
        <v>0</v>
      </c>
      <c r="T156" s="16" t="n">
        <f aca="false">$N156*MAX(0,(MIN($G156,DATE(2026,10,31))-MAX($E156,DATE(2026,10,1))+1))/$O156</f>
        <v>0</v>
      </c>
      <c r="U156" s="16" t="n">
        <f aca="false">$N156*MAX(0,(MIN($G156,DATE(2026,11,30))-MAX($E156,DATE(2026,11,1))+1))/$O156</f>
        <v>0</v>
      </c>
      <c r="V156" s="16" t="n">
        <f aca="false">$N156*MAX(0,(MIN($G156,DATE(2026,12,31))-MAX($E156,DATE(2026,12,1))+1))/$O156</f>
        <v>0</v>
      </c>
      <c r="W156" s="17" t="n">
        <f aca="false">$H156*MAX(0,(MIN($G156,DATE(2026,7,31))-MAX($E156,DATE(2026,7,1))+1))/30.4</f>
        <v>1.01973684210526</v>
      </c>
      <c r="X156" s="17" t="n">
        <f aca="false">$H156*MAX(0,(MIN($G156,DATE(2026,8,31))-MAX($E156,DATE(2026,8,1))+1))/30.4</f>
        <v>0.164473684210526</v>
      </c>
      <c r="Y156" s="17" t="n">
        <f aca="false">$H156*MAX(0,(MIN($G156,DATE(2026,9,30))-MAX($E156,DATE(2026,9,1))+1))/30.4</f>
        <v>0</v>
      </c>
      <c r="Z156" s="17" t="n">
        <f aca="false">$H156*MAX(0,(MIN($G156,DATE(2026,10,31))-MAX($E156,DATE(2026,10,1))+1))/30.4</f>
        <v>0</v>
      </c>
      <c r="AA156" s="17" t="n">
        <f aca="false">$H156*MAX(0,(MIN($G156,DATE(2026,11,30))-MAX($E156,DATE(2026,11,1))+1))/30.4</f>
        <v>0</v>
      </c>
      <c r="AB156" s="17" t="n">
        <f aca="false">$H156*MAX(0,(MIN($G156,DATE(2026,12,31))-MAX($E156,DATE(2026,12,1))+1))/30.4</f>
        <v>0</v>
      </c>
    </row>
    <row r="157" customFormat="false" ht="15" hidden="false" customHeight="false" outlineLevel="0" collapsed="false">
      <c r="A157" s="10" t="n">
        <v>106</v>
      </c>
      <c r="B157" s="10" t="n">
        <v>2</v>
      </c>
      <c r="C157" s="10"/>
      <c r="D157" s="10" t="s">
        <v>76</v>
      </c>
      <c r="E157" s="12" t="n">
        <v>46195</v>
      </c>
      <c r="F157" s="10" t="n">
        <v>5</v>
      </c>
      <c r="G157" s="12" t="n">
        <v>46230</v>
      </c>
      <c r="H157" s="13" t="n">
        <v>1</v>
      </c>
      <c r="I157" s="10" t="s">
        <v>113</v>
      </c>
      <c r="J157" s="14" t="str">
        <f aca="false">IFERROR(VLOOKUP(D157,Role_Mapping!$A$5:$D$31,2,FALSE()),"UNMAPPED")</f>
        <v>Senior Software Engineer</v>
      </c>
      <c r="K157" s="14" t="str">
        <f aca="false">IFERROR(VLOOKUP(D157,Role_Mapping!$A$5:$D$31,3,FALSE()),"IN")</f>
        <v>IN</v>
      </c>
      <c r="L157" s="15" t="n">
        <f aca="false">IFERROR(SUMPRODUCT((Rate_Card!$A$5:$A$34=J157)*(Rate_Card!$B$5:$B$34=K157)*Rate_Card!$C$5:$C$34),0)</f>
        <v>585</v>
      </c>
      <c r="M157" s="10" t="n">
        <f aca="false">F157*5</f>
        <v>25</v>
      </c>
      <c r="N157" s="16" t="n">
        <f aca="false">L157*M157*H157</f>
        <v>14625</v>
      </c>
      <c r="O157" s="10" t="n">
        <f aca="false">(G157-E157)+1</f>
        <v>36</v>
      </c>
      <c r="P157" s="14" t="str">
        <f aca="false">IFERROR(VLOOKUP(D157,Role_Mapping!$A$5:$D$31,4,FALSE()),"UNMAPPED")</f>
        <v>Full Stack</v>
      </c>
      <c r="Q157" s="16" t="n">
        <f aca="false">$N157*MAX(0,(MIN($G157,DATE(2026,7,31))-MAX($E157,DATE(2026,7,1))+1))/$O157</f>
        <v>10968.75</v>
      </c>
      <c r="R157" s="16" t="n">
        <f aca="false">$N157*MAX(0,(MIN($G157,DATE(2026,8,31))-MAX($E157,DATE(2026,8,1))+1))/$O157</f>
        <v>0</v>
      </c>
      <c r="S157" s="16" t="n">
        <f aca="false">$N157*MAX(0,(MIN($G157,DATE(2026,9,30))-MAX($E157,DATE(2026,9,1))+1))/$O157</f>
        <v>0</v>
      </c>
      <c r="T157" s="16" t="n">
        <f aca="false">$N157*MAX(0,(MIN($G157,DATE(2026,10,31))-MAX($E157,DATE(2026,10,1))+1))/$O157</f>
        <v>0</v>
      </c>
      <c r="U157" s="16" t="n">
        <f aca="false">$N157*MAX(0,(MIN($G157,DATE(2026,11,30))-MAX($E157,DATE(2026,11,1))+1))/$O157</f>
        <v>0</v>
      </c>
      <c r="V157" s="16" t="n">
        <f aca="false">$N157*MAX(0,(MIN($G157,DATE(2026,12,31))-MAX($E157,DATE(2026,12,1))+1))/$O157</f>
        <v>0</v>
      </c>
      <c r="W157" s="17" t="n">
        <f aca="false">$H157*MAX(0,(MIN($G157,DATE(2026,7,31))-MAX($E157,DATE(2026,7,1))+1))/30.4</f>
        <v>0.888157894736842</v>
      </c>
      <c r="X157" s="17" t="n">
        <f aca="false">$H157*MAX(0,(MIN($G157,DATE(2026,8,31))-MAX($E157,DATE(2026,8,1))+1))/30.4</f>
        <v>0</v>
      </c>
      <c r="Y157" s="17" t="n">
        <f aca="false">$H157*MAX(0,(MIN($G157,DATE(2026,9,30))-MAX($E157,DATE(2026,9,1))+1))/30.4</f>
        <v>0</v>
      </c>
      <c r="Z157" s="17" t="n">
        <f aca="false">$H157*MAX(0,(MIN($G157,DATE(2026,10,31))-MAX($E157,DATE(2026,10,1))+1))/30.4</f>
        <v>0</v>
      </c>
      <c r="AA157" s="17" t="n">
        <f aca="false">$H157*MAX(0,(MIN($G157,DATE(2026,11,30))-MAX($E157,DATE(2026,11,1))+1))/30.4</f>
        <v>0</v>
      </c>
      <c r="AB157" s="17" t="n">
        <f aca="false">$H157*MAX(0,(MIN($G157,DATE(2026,12,31))-MAX($E157,DATE(2026,12,1))+1))/30.4</f>
        <v>0</v>
      </c>
    </row>
    <row r="158" customFormat="false" ht="15" hidden="false" customHeight="false" outlineLevel="0" collapsed="false">
      <c r="A158" s="10" t="n">
        <v>107</v>
      </c>
      <c r="B158" s="10" t="n">
        <v>1</v>
      </c>
      <c r="C158" s="10" t="s">
        <v>144</v>
      </c>
      <c r="D158" s="10" t="s">
        <v>58</v>
      </c>
      <c r="E158" s="12" t="n">
        <v>46188</v>
      </c>
      <c r="F158" s="10" t="n">
        <v>2</v>
      </c>
      <c r="G158" s="12" t="n">
        <v>46202</v>
      </c>
      <c r="H158" s="13" t="n">
        <v>0.125</v>
      </c>
      <c r="I158" s="10" t="s">
        <v>113</v>
      </c>
      <c r="J158" s="14" t="str">
        <f aca="false">IFERROR(VLOOKUP(D158,Role_Mapping!$A$5:$D$31,2,FALSE()),"UNMAPPED")</f>
        <v>Solutions Enabler</v>
      </c>
      <c r="K158" s="14" t="str">
        <f aca="false">IFERROR(VLOOKUP(D158,Role_Mapping!$A$5:$D$31,3,FALSE()),"IN")</f>
        <v>IN</v>
      </c>
      <c r="L158" s="15" t="n">
        <f aca="false">IFERROR(SUMPRODUCT((Rate_Card!$A$5:$A$34=J158)*(Rate_Card!$B$5:$B$34=K158)*Rate_Card!$C$5:$C$34),0)</f>
        <v>683</v>
      </c>
      <c r="M158" s="10" t="n">
        <f aca="false">F158*5</f>
        <v>10</v>
      </c>
      <c r="N158" s="16" t="n">
        <f aca="false">L158*M158*H158</f>
        <v>853.75</v>
      </c>
      <c r="O158" s="10" t="n">
        <f aca="false">(G158-E158)+1</f>
        <v>15</v>
      </c>
      <c r="P158" s="14" t="str">
        <f aca="false">IFERROR(VLOOKUP(D158,Role_Mapping!$A$5:$D$31,4,FALSE()),"UNMAPPED")</f>
        <v>Data Engineering</v>
      </c>
      <c r="Q158" s="16" t="n">
        <f aca="false">$N158*MAX(0,(MIN($G158,DATE(2026,7,31))-MAX($E158,DATE(2026,7,1))+1))/$O158</f>
        <v>0</v>
      </c>
      <c r="R158" s="16" t="n">
        <f aca="false">$N158*MAX(0,(MIN($G158,DATE(2026,8,31))-MAX($E158,DATE(2026,8,1))+1))/$O158</f>
        <v>0</v>
      </c>
      <c r="S158" s="16" t="n">
        <f aca="false">$N158*MAX(0,(MIN($G158,DATE(2026,9,30))-MAX($E158,DATE(2026,9,1))+1))/$O158</f>
        <v>0</v>
      </c>
      <c r="T158" s="16" t="n">
        <f aca="false">$N158*MAX(0,(MIN($G158,DATE(2026,10,31))-MAX($E158,DATE(2026,10,1))+1))/$O158</f>
        <v>0</v>
      </c>
      <c r="U158" s="16" t="n">
        <f aca="false">$N158*MAX(0,(MIN($G158,DATE(2026,11,30))-MAX($E158,DATE(2026,11,1))+1))/$O158</f>
        <v>0</v>
      </c>
      <c r="V158" s="16" t="n">
        <f aca="false">$N158*MAX(0,(MIN($G158,DATE(2026,12,31))-MAX($E158,DATE(2026,12,1))+1))/$O158</f>
        <v>0</v>
      </c>
      <c r="W158" s="17" t="n">
        <f aca="false">$H158*MAX(0,(MIN($G158,DATE(2026,7,31))-MAX($E158,DATE(2026,7,1))+1))/30.4</f>
        <v>0</v>
      </c>
      <c r="X158" s="17" t="n">
        <f aca="false">$H158*MAX(0,(MIN($G158,DATE(2026,8,31))-MAX($E158,DATE(2026,8,1))+1))/30.4</f>
        <v>0</v>
      </c>
      <c r="Y158" s="17" t="n">
        <f aca="false">$H158*MAX(0,(MIN($G158,DATE(2026,9,30))-MAX($E158,DATE(2026,9,1))+1))/30.4</f>
        <v>0</v>
      </c>
      <c r="Z158" s="17" t="n">
        <f aca="false">$H158*MAX(0,(MIN($G158,DATE(2026,10,31))-MAX($E158,DATE(2026,10,1))+1))/30.4</f>
        <v>0</v>
      </c>
      <c r="AA158" s="17" t="n">
        <f aca="false">$H158*MAX(0,(MIN($G158,DATE(2026,11,30))-MAX($E158,DATE(2026,11,1))+1))/30.4</f>
        <v>0</v>
      </c>
      <c r="AB158" s="17" t="n">
        <f aca="false">$H158*MAX(0,(MIN($G158,DATE(2026,12,31))-MAX($E158,DATE(2026,12,1))+1))/30.4</f>
        <v>0</v>
      </c>
    </row>
    <row r="159" customFormat="false" ht="15" hidden="false" customHeight="false" outlineLevel="0" collapsed="false">
      <c r="A159" s="10" t="n">
        <v>108</v>
      </c>
      <c r="B159" s="10" t="n">
        <v>1</v>
      </c>
      <c r="C159" s="10" t="s">
        <v>145</v>
      </c>
      <c r="D159" s="10" t="s">
        <v>58</v>
      </c>
      <c r="E159" s="12" t="n">
        <v>46188</v>
      </c>
      <c r="F159" s="10" t="n">
        <v>5</v>
      </c>
      <c r="G159" s="12" t="n">
        <v>46223</v>
      </c>
      <c r="H159" s="13" t="n">
        <v>0.125</v>
      </c>
      <c r="I159" s="10" t="s">
        <v>113</v>
      </c>
      <c r="J159" s="14" t="str">
        <f aca="false">IFERROR(VLOOKUP(D159,Role_Mapping!$A$5:$D$31,2,FALSE()),"UNMAPPED")</f>
        <v>Solutions Enabler</v>
      </c>
      <c r="K159" s="14" t="str">
        <f aca="false">IFERROR(VLOOKUP(D159,Role_Mapping!$A$5:$D$31,3,FALSE()),"IN")</f>
        <v>IN</v>
      </c>
      <c r="L159" s="15" t="n">
        <f aca="false">IFERROR(SUMPRODUCT((Rate_Card!$A$5:$A$34=J159)*(Rate_Card!$B$5:$B$34=K159)*Rate_Card!$C$5:$C$34),0)</f>
        <v>683</v>
      </c>
      <c r="M159" s="10" t="n">
        <f aca="false">F159*5</f>
        <v>25</v>
      </c>
      <c r="N159" s="16" t="n">
        <f aca="false">L159*M159*H159</f>
        <v>2134.375</v>
      </c>
      <c r="O159" s="10" t="n">
        <f aca="false">(G159-E159)+1</f>
        <v>36</v>
      </c>
      <c r="P159" s="14" t="str">
        <f aca="false">IFERROR(VLOOKUP(D159,Role_Mapping!$A$5:$D$31,4,FALSE()),"UNMAPPED")</f>
        <v>Data Engineering</v>
      </c>
      <c r="Q159" s="16" t="n">
        <f aca="false">$N159*MAX(0,(MIN($G159,DATE(2026,7,31))-MAX($E159,DATE(2026,7,1))+1))/$O159</f>
        <v>1185.76388888889</v>
      </c>
      <c r="R159" s="16" t="n">
        <f aca="false">$N159*MAX(0,(MIN($G159,DATE(2026,8,31))-MAX($E159,DATE(2026,8,1))+1))/$O159</f>
        <v>0</v>
      </c>
      <c r="S159" s="16" t="n">
        <f aca="false">$N159*MAX(0,(MIN($G159,DATE(2026,9,30))-MAX($E159,DATE(2026,9,1))+1))/$O159</f>
        <v>0</v>
      </c>
      <c r="T159" s="16" t="n">
        <f aca="false">$N159*MAX(0,(MIN($G159,DATE(2026,10,31))-MAX($E159,DATE(2026,10,1))+1))/$O159</f>
        <v>0</v>
      </c>
      <c r="U159" s="16" t="n">
        <f aca="false">$N159*MAX(0,(MIN($G159,DATE(2026,11,30))-MAX($E159,DATE(2026,11,1))+1))/$O159</f>
        <v>0</v>
      </c>
      <c r="V159" s="16" t="n">
        <f aca="false">$N159*MAX(0,(MIN($G159,DATE(2026,12,31))-MAX($E159,DATE(2026,12,1))+1))/$O159</f>
        <v>0</v>
      </c>
      <c r="W159" s="17" t="n">
        <f aca="false">$H159*MAX(0,(MIN($G159,DATE(2026,7,31))-MAX($E159,DATE(2026,7,1))+1))/30.4</f>
        <v>0.0822368421052632</v>
      </c>
      <c r="X159" s="17" t="n">
        <f aca="false">$H159*MAX(0,(MIN($G159,DATE(2026,8,31))-MAX($E159,DATE(2026,8,1))+1))/30.4</f>
        <v>0</v>
      </c>
      <c r="Y159" s="17" t="n">
        <f aca="false">$H159*MAX(0,(MIN($G159,DATE(2026,9,30))-MAX($E159,DATE(2026,9,1))+1))/30.4</f>
        <v>0</v>
      </c>
      <c r="Z159" s="17" t="n">
        <f aca="false">$H159*MAX(0,(MIN($G159,DATE(2026,10,31))-MAX($E159,DATE(2026,10,1))+1))/30.4</f>
        <v>0</v>
      </c>
      <c r="AA159" s="17" t="n">
        <f aca="false">$H159*MAX(0,(MIN($G159,DATE(2026,11,30))-MAX($E159,DATE(2026,11,1))+1))/30.4</f>
        <v>0</v>
      </c>
      <c r="AB159" s="17" t="n">
        <f aca="false">$H159*MAX(0,(MIN($G159,DATE(2026,12,31))-MAX($E159,DATE(2026,12,1))+1))/30.4</f>
        <v>0</v>
      </c>
    </row>
    <row r="160" customFormat="false" ht="15" hidden="false" customHeight="false" outlineLevel="0" collapsed="false">
      <c r="A160" s="10" t="n">
        <v>109</v>
      </c>
      <c r="B160" s="10" t="n">
        <v>1</v>
      </c>
      <c r="C160" s="10" t="s">
        <v>146</v>
      </c>
      <c r="D160" s="10" t="s">
        <v>62</v>
      </c>
      <c r="E160" s="12" t="n">
        <v>46195</v>
      </c>
      <c r="F160" s="10" t="n">
        <v>5</v>
      </c>
      <c r="G160" s="12" t="n">
        <v>46230</v>
      </c>
      <c r="H160" s="13" t="n">
        <v>0.125</v>
      </c>
      <c r="I160" s="10" t="s">
        <v>126</v>
      </c>
      <c r="J160" s="14" t="str">
        <f aca="false">IFERROR(VLOOKUP(D160,Role_Mapping!$A$5:$D$31,2,FALSE()),"UNMAPPED")</f>
        <v>Associate Partner</v>
      </c>
      <c r="K160" s="14" t="str">
        <f aca="false">IFERROR(VLOOKUP(D160,Role_Mapping!$A$5:$D$31,3,FALSE()),"IN")</f>
        <v>UK</v>
      </c>
      <c r="L160" s="15" t="n">
        <f aca="false">IFERROR(SUMPRODUCT((Rate_Card!$A$5:$A$34=J160)*(Rate_Card!$B$5:$B$34=K160)*Rate_Card!$C$5:$C$34),0)</f>
        <v>3526</v>
      </c>
      <c r="M160" s="10" t="n">
        <f aca="false">F160*5</f>
        <v>25</v>
      </c>
      <c r="N160" s="16" t="n">
        <f aca="false">L160*M160*H160</f>
        <v>11018.75</v>
      </c>
      <c r="O160" s="10" t="n">
        <f aca="false">(G160-E160)+1</f>
        <v>36</v>
      </c>
      <c r="P160" s="14" t="str">
        <f aca="false">IFERROR(VLOOKUP(D160,Role_Mapping!$A$5:$D$31,4,FALSE()),"UNMAPPED")</f>
        <v>GTM</v>
      </c>
      <c r="Q160" s="16" t="n">
        <f aca="false">$N160*MAX(0,(MIN($G160,DATE(2026,7,31))-MAX($E160,DATE(2026,7,1))+1))/$O160</f>
        <v>8264.0625</v>
      </c>
      <c r="R160" s="16" t="n">
        <f aca="false">$N160*MAX(0,(MIN($G160,DATE(2026,8,31))-MAX($E160,DATE(2026,8,1))+1))/$O160</f>
        <v>0</v>
      </c>
      <c r="S160" s="16" t="n">
        <f aca="false">$N160*MAX(0,(MIN($G160,DATE(2026,9,30))-MAX($E160,DATE(2026,9,1))+1))/$O160</f>
        <v>0</v>
      </c>
      <c r="T160" s="16" t="n">
        <f aca="false">$N160*MAX(0,(MIN($G160,DATE(2026,10,31))-MAX($E160,DATE(2026,10,1))+1))/$O160</f>
        <v>0</v>
      </c>
      <c r="U160" s="16" t="n">
        <f aca="false">$N160*MAX(0,(MIN($G160,DATE(2026,11,30))-MAX($E160,DATE(2026,11,1))+1))/$O160</f>
        <v>0</v>
      </c>
      <c r="V160" s="16" t="n">
        <f aca="false">$N160*MAX(0,(MIN($G160,DATE(2026,12,31))-MAX($E160,DATE(2026,12,1))+1))/$O160</f>
        <v>0</v>
      </c>
      <c r="W160" s="17" t="n">
        <f aca="false">$H160*MAX(0,(MIN($G160,DATE(2026,7,31))-MAX($E160,DATE(2026,7,1))+1))/30.4</f>
        <v>0.111019736842105</v>
      </c>
      <c r="X160" s="17" t="n">
        <f aca="false">$H160*MAX(0,(MIN($G160,DATE(2026,8,31))-MAX($E160,DATE(2026,8,1))+1))/30.4</f>
        <v>0</v>
      </c>
      <c r="Y160" s="17" t="n">
        <f aca="false">$H160*MAX(0,(MIN($G160,DATE(2026,9,30))-MAX($E160,DATE(2026,9,1))+1))/30.4</f>
        <v>0</v>
      </c>
      <c r="Z160" s="17" t="n">
        <f aca="false">$H160*MAX(0,(MIN($G160,DATE(2026,10,31))-MAX($E160,DATE(2026,10,1))+1))/30.4</f>
        <v>0</v>
      </c>
      <c r="AA160" s="17" t="n">
        <f aca="false">$H160*MAX(0,(MIN($G160,DATE(2026,11,30))-MAX($E160,DATE(2026,11,1))+1))/30.4</f>
        <v>0</v>
      </c>
      <c r="AB160" s="17" t="n">
        <f aca="false">$H160*MAX(0,(MIN($G160,DATE(2026,12,31))-MAX($E160,DATE(2026,12,1))+1))/30.4</f>
        <v>0</v>
      </c>
    </row>
    <row r="161" customFormat="false" ht="15" hidden="false" customHeight="false" outlineLevel="0" collapsed="false">
      <c r="A161" s="10" t="n">
        <v>110</v>
      </c>
      <c r="B161" s="10" t="n">
        <v>1</v>
      </c>
      <c r="C161" s="10"/>
      <c r="D161" s="10" t="s">
        <v>64</v>
      </c>
      <c r="E161" s="12" t="n">
        <v>46195</v>
      </c>
      <c r="F161" s="10" t="n">
        <v>5</v>
      </c>
      <c r="G161" s="12" t="n">
        <v>46230</v>
      </c>
      <c r="H161" s="13" t="n">
        <v>0.25</v>
      </c>
      <c r="I161" s="10" t="s">
        <v>126</v>
      </c>
      <c r="J161" s="14" t="str">
        <f aca="false">IFERROR(VLOOKUP(D161,Role_Mapping!$A$5:$D$31,2,FALSE()),"UNMAPPED")</f>
        <v>Principal Technology Architect</v>
      </c>
      <c r="K161" s="14" t="str">
        <f aca="false">IFERROR(VLOOKUP(D161,Role_Mapping!$A$5:$D$31,3,FALSE()),"IN")</f>
        <v>IN</v>
      </c>
      <c r="L161" s="15" t="n">
        <f aca="false">IFERROR(SUMPRODUCT((Rate_Card!$A$5:$A$34=J161)*(Rate_Card!$B$5:$B$34=K161)*Rate_Card!$C$5:$C$34),0)</f>
        <v>845</v>
      </c>
      <c r="M161" s="10" t="n">
        <f aca="false">F161*5</f>
        <v>25</v>
      </c>
      <c r="N161" s="16" t="n">
        <f aca="false">L161*M161*H161</f>
        <v>5281.25</v>
      </c>
      <c r="O161" s="10" t="n">
        <f aca="false">(G161-E161)+1</f>
        <v>36</v>
      </c>
      <c r="P161" s="14" t="str">
        <f aca="false">IFERROR(VLOOKUP(D161,Role_Mapping!$A$5:$D$31,4,FALSE()),"UNMAPPED")</f>
        <v>Full Stack</v>
      </c>
      <c r="Q161" s="16" t="n">
        <f aca="false">$N161*MAX(0,(MIN($G161,DATE(2026,7,31))-MAX($E161,DATE(2026,7,1))+1))/$O161</f>
        <v>3960.9375</v>
      </c>
      <c r="R161" s="16" t="n">
        <f aca="false">$N161*MAX(0,(MIN($G161,DATE(2026,8,31))-MAX($E161,DATE(2026,8,1))+1))/$O161</f>
        <v>0</v>
      </c>
      <c r="S161" s="16" t="n">
        <f aca="false">$N161*MAX(0,(MIN($G161,DATE(2026,9,30))-MAX($E161,DATE(2026,9,1))+1))/$O161</f>
        <v>0</v>
      </c>
      <c r="T161" s="16" t="n">
        <f aca="false">$N161*MAX(0,(MIN($G161,DATE(2026,10,31))-MAX($E161,DATE(2026,10,1))+1))/$O161</f>
        <v>0</v>
      </c>
      <c r="U161" s="16" t="n">
        <f aca="false">$N161*MAX(0,(MIN($G161,DATE(2026,11,30))-MAX($E161,DATE(2026,11,1))+1))/$O161</f>
        <v>0</v>
      </c>
      <c r="V161" s="16" t="n">
        <f aca="false">$N161*MAX(0,(MIN($G161,DATE(2026,12,31))-MAX($E161,DATE(2026,12,1))+1))/$O161</f>
        <v>0</v>
      </c>
      <c r="W161" s="17" t="n">
        <f aca="false">$H161*MAX(0,(MIN($G161,DATE(2026,7,31))-MAX($E161,DATE(2026,7,1))+1))/30.4</f>
        <v>0.222039473684211</v>
      </c>
      <c r="X161" s="17" t="n">
        <f aca="false">$H161*MAX(0,(MIN($G161,DATE(2026,8,31))-MAX($E161,DATE(2026,8,1))+1))/30.4</f>
        <v>0</v>
      </c>
      <c r="Y161" s="17" t="n">
        <f aca="false">$H161*MAX(0,(MIN($G161,DATE(2026,9,30))-MAX($E161,DATE(2026,9,1))+1))/30.4</f>
        <v>0</v>
      </c>
      <c r="Z161" s="17" t="n">
        <f aca="false">$H161*MAX(0,(MIN($G161,DATE(2026,10,31))-MAX($E161,DATE(2026,10,1))+1))/30.4</f>
        <v>0</v>
      </c>
      <c r="AA161" s="17" t="n">
        <f aca="false">$H161*MAX(0,(MIN($G161,DATE(2026,11,30))-MAX($E161,DATE(2026,11,1))+1))/30.4</f>
        <v>0</v>
      </c>
      <c r="AB161" s="17" t="n">
        <f aca="false">$H161*MAX(0,(MIN($G161,DATE(2026,12,31))-MAX($E161,DATE(2026,12,1))+1))/30.4</f>
        <v>0</v>
      </c>
    </row>
    <row r="162" customFormat="false" ht="15" hidden="false" customHeight="false" outlineLevel="0" collapsed="false">
      <c r="A162" s="10" t="n">
        <v>111</v>
      </c>
      <c r="B162" s="10" t="n">
        <v>1</v>
      </c>
      <c r="C162" s="10"/>
      <c r="D162" s="10" t="s">
        <v>80</v>
      </c>
      <c r="E162" s="12" t="n">
        <v>46195</v>
      </c>
      <c r="F162" s="10" t="n">
        <v>5</v>
      </c>
      <c r="G162" s="12" t="n">
        <v>46230</v>
      </c>
      <c r="H162" s="13" t="n">
        <v>0.5</v>
      </c>
      <c r="I162" s="10" t="s">
        <v>126</v>
      </c>
      <c r="J162" s="14" t="str">
        <f aca="false">IFERROR(VLOOKUP(D162,Role_Mapping!$A$5:$D$31,2,FALSE()),"UNMAPPED")</f>
        <v>Solutions Consultant</v>
      </c>
      <c r="K162" s="14" t="str">
        <f aca="false">IFERROR(VLOOKUP(D162,Role_Mapping!$A$5:$D$31,3,FALSE()),"IN")</f>
        <v>IN</v>
      </c>
      <c r="L162" s="15" t="n">
        <f aca="false">IFERROR(SUMPRODUCT((Rate_Card!$A$5:$A$34=J162)*(Rate_Card!$B$5:$B$34=K162)*Rate_Card!$C$5:$C$34),0)</f>
        <v>683</v>
      </c>
      <c r="M162" s="10" t="n">
        <f aca="false">F162*5</f>
        <v>25</v>
      </c>
      <c r="N162" s="16" t="n">
        <f aca="false">L162*M162*H162</f>
        <v>8537.5</v>
      </c>
      <c r="O162" s="10" t="n">
        <f aca="false">(G162-E162)+1</f>
        <v>36</v>
      </c>
      <c r="P162" s="14" t="str">
        <f aca="false">IFERROR(VLOOKUP(D162,Role_Mapping!$A$5:$D$31,4,FALSE()),"UNMAPPED")</f>
        <v>Power BI &amp; Consulting</v>
      </c>
      <c r="Q162" s="16" t="n">
        <f aca="false">$N162*MAX(0,(MIN($G162,DATE(2026,7,31))-MAX($E162,DATE(2026,7,1))+1))/$O162</f>
        <v>6403.125</v>
      </c>
      <c r="R162" s="16" t="n">
        <f aca="false">$N162*MAX(0,(MIN($G162,DATE(2026,8,31))-MAX($E162,DATE(2026,8,1))+1))/$O162</f>
        <v>0</v>
      </c>
      <c r="S162" s="16" t="n">
        <f aca="false">$N162*MAX(0,(MIN($G162,DATE(2026,9,30))-MAX($E162,DATE(2026,9,1))+1))/$O162</f>
        <v>0</v>
      </c>
      <c r="T162" s="16" t="n">
        <f aca="false">$N162*MAX(0,(MIN($G162,DATE(2026,10,31))-MAX($E162,DATE(2026,10,1))+1))/$O162</f>
        <v>0</v>
      </c>
      <c r="U162" s="16" t="n">
        <f aca="false">$N162*MAX(0,(MIN($G162,DATE(2026,11,30))-MAX($E162,DATE(2026,11,1))+1))/$O162</f>
        <v>0</v>
      </c>
      <c r="V162" s="16" t="n">
        <f aca="false">$N162*MAX(0,(MIN($G162,DATE(2026,12,31))-MAX($E162,DATE(2026,12,1))+1))/$O162</f>
        <v>0</v>
      </c>
      <c r="W162" s="17" t="n">
        <f aca="false">$H162*MAX(0,(MIN($G162,DATE(2026,7,31))-MAX($E162,DATE(2026,7,1))+1))/30.4</f>
        <v>0.444078947368421</v>
      </c>
      <c r="X162" s="17" t="n">
        <f aca="false">$H162*MAX(0,(MIN($G162,DATE(2026,8,31))-MAX($E162,DATE(2026,8,1))+1))/30.4</f>
        <v>0</v>
      </c>
      <c r="Y162" s="17" t="n">
        <f aca="false">$H162*MAX(0,(MIN($G162,DATE(2026,9,30))-MAX($E162,DATE(2026,9,1))+1))/30.4</f>
        <v>0</v>
      </c>
      <c r="Z162" s="17" t="n">
        <f aca="false">$H162*MAX(0,(MIN($G162,DATE(2026,10,31))-MAX($E162,DATE(2026,10,1))+1))/30.4</f>
        <v>0</v>
      </c>
      <c r="AA162" s="17" t="n">
        <f aca="false">$H162*MAX(0,(MIN($G162,DATE(2026,11,30))-MAX($E162,DATE(2026,11,1))+1))/30.4</f>
        <v>0</v>
      </c>
      <c r="AB162" s="17" t="n">
        <f aca="false">$H162*MAX(0,(MIN($G162,DATE(2026,12,31))-MAX($E162,DATE(2026,12,1))+1))/30.4</f>
        <v>0</v>
      </c>
    </row>
    <row r="163" customFormat="false" ht="15" hidden="false" customHeight="false" outlineLevel="0" collapsed="false">
      <c r="A163" s="10" t="n">
        <v>112</v>
      </c>
      <c r="B163" s="10" t="n">
        <v>1</v>
      </c>
      <c r="C163" s="10"/>
      <c r="D163" s="10" t="s">
        <v>56</v>
      </c>
      <c r="E163" s="12" t="n">
        <v>46195</v>
      </c>
      <c r="F163" s="10" t="n">
        <v>4</v>
      </c>
      <c r="G163" s="12" t="n">
        <v>46223</v>
      </c>
      <c r="H163" s="13" t="n">
        <v>0.5</v>
      </c>
      <c r="I163" s="10" t="s">
        <v>126</v>
      </c>
      <c r="J163" s="14" t="str">
        <f aca="false">IFERROR(VLOOKUP(D163,Role_Mapping!$A$5:$D$31,2,FALSE()),"UNMAPPED")</f>
        <v>Manager</v>
      </c>
      <c r="K163" s="14" t="str">
        <f aca="false">IFERROR(VLOOKUP(D163,Role_Mapping!$A$5:$D$31,3,FALSE()),"IN")</f>
        <v>UK</v>
      </c>
      <c r="L163" s="15" t="n">
        <f aca="false">IFERROR(SUMPRODUCT((Rate_Card!$A$5:$A$34=J163)*(Rate_Card!$B$5:$B$34=K163)*Rate_Card!$C$5:$C$34),0)</f>
        <v>2984</v>
      </c>
      <c r="M163" s="10" t="n">
        <f aca="false">F163*5</f>
        <v>20</v>
      </c>
      <c r="N163" s="16" t="n">
        <f aca="false">L163*M163*H163</f>
        <v>29840</v>
      </c>
      <c r="O163" s="10" t="n">
        <f aca="false">(G163-E163)+1</f>
        <v>29</v>
      </c>
      <c r="P163" s="14" t="str">
        <f aca="false">IFERROR(VLOOKUP(D163,Role_Mapping!$A$5:$D$31,4,FALSE()),"UNMAPPED")</f>
        <v>Consulting</v>
      </c>
      <c r="Q163" s="16" t="n">
        <f aca="false">$N163*MAX(0,(MIN($G163,DATE(2026,7,31))-MAX($E163,DATE(2026,7,1))+1))/$O163</f>
        <v>20579.3103448276</v>
      </c>
      <c r="R163" s="16" t="n">
        <f aca="false">$N163*MAX(0,(MIN($G163,DATE(2026,8,31))-MAX($E163,DATE(2026,8,1))+1))/$O163</f>
        <v>0</v>
      </c>
      <c r="S163" s="16" t="n">
        <f aca="false">$N163*MAX(0,(MIN($G163,DATE(2026,9,30))-MAX($E163,DATE(2026,9,1))+1))/$O163</f>
        <v>0</v>
      </c>
      <c r="T163" s="16" t="n">
        <f aca="false">$N163*MAX(0,(MIN($G163,DATE(2026,10,31))-MAX($E163,DATE(2026,10,1))+1))/$O163</f>
        <v>0</v>
      </c>
      <c r="U163" s="16" t="n">
        <f aca="false">$N163*MAX(0,(MIN($G163,DATE(2026,11,30))-MAX($E163,DATE(2026,11,1))+1))/$O163</f>
        <v>0</v>
      </c>
      <c r="V163" s="16" t="n">
        <f aca="false">$N163*MAX(0,(MIN($G163,DATE(2026,12,31))-MAX($E163,DATE(2026,12,1))+1))/$O163</f>
        <v>0</v>
      </c>
      <c r="W163" s="17" t="n">
        <f aca="false">$H163*MAX(0,(MIN($G163,DATE(2026,7,31))-MAX($E163,DATE(2026,7,1))+1))/30.4</f>
        <v>0.328947368421053</v>
      </c>
      <c r="X163" s="17" t="n">
        <f aca="false">$H163*MAX(0,(MIN($G163,DATE(2026,8,31))-MAX($E163,DATE(2026,8,1))+1))/30.4</f>
        <v>0</v>
      </c>
      <c r="Y163" s="17" t="n">
        <f aca="false">$H163*MAX(0,(MIN($G163,DATE(2026,9,30))-MAX($E163,DATE(2026,9,1))+1))/30.4</f>
        <v>0</v>
      </c>
      <c r="Z163" s="17" t="n">
        <f aca="false">$H163*MAX(0,(MIN($G163,DATE(2026,10,31))-MAX($E163,DATE(2026,10,1))+1))/30.4</f>
        <v>0</v>
      </c>
      <c r="AA163" s="17" t="n">
        <f aca="false">$H163*MAX(0,(MIN($G163,DATE(2026,11,30))-MAX($E163,DATE(2026,11,1))+1))/30.4</f>
        <v>0</v>
      </c>
      <c r="AB163" s="17" t="n">
        <f aca="false">$H163*MAX(0,(MIN($G163,DATE(2026,12,31))-MAX($E163,DATE(2026,12,1))+1))/30.4</f>
        <v>0</v>
      </c>
    </row>
    <row r="164" customFormat="false" ht="15" hidden="false" customHeight="false" outlineLevel="0" collapsed="false">
      <c r="A164" s="10" t="n">
        <v>113</v>
      </c>
      <c r="B164" s="10" t="n">
        <v>1</v>
      </c>
      <c r="C164" s="10"/>
      <c r="D164" s="10" t="s">
        <v>61</v>
      </c>
      <c r="E164" s="12" t="n">
        <v>46195</v>
      </c>
      <c r="F164" s="10" t="n">
        <v>5</v>
      </c>
      <c r="G164" s="12" t="n">
        <v>46230</v>
      </c>
      <c r="H164" s="13" t="n">
        <v>0.5</v>
      </c>
      <c r="I164" s="10" t="s">
        <v>126</v>
      </c>
      <c r="J164" s="14" t="str">
        <f aca="false">IFERROR(VLOOKUP(D164,Role_Mapping!$A$5:$D$31,2,FALSE()),"UNMAPPED")</f>
        <v>Manager</v>
      </c>
      <c r="K164" s="14" t="str">
        <f aca="false">IFERROR(VLOOKUP(D164,Role_Mapping!$A$5:$D$31,3,FALSE()),"IN")</f>
        <v>UK</v>
      </c>
      <c r="L164" s="15" t="n">
        <f aca="false">IFERROR(SUMPRODUCT((Rate_Card!$A$5:$A$34=J164)*(Rate_Card!$B$5:$B$34=K164)*Rate_Card!$C$5:$C$34),0)</f>
        <v>2984</v>
      </c>
      <c r="M164" s="10" t="n">
        <f aca="false">F164*5</f>
        <v>25</v>
      </c>
      <c r="N164" s="16" t="n">
        <f aca="false">L164*M164*H164</f>
        <v>37300</v>
      </c>
      <c r="O164" s="10" t="n">
        <f aca="false">(G164-E164)+1</f>
        <v>36</v>
      </c>
      <c r="P164" s="14" t="str">
        <f aca="false">IFERROR(VLOOKUP(D164,Role_Mapping!$A$5:$D$31,4,FALSE()),"UNMAPPED")</f>
        <v>Consulting</v>
      </c>
      <c r="Q164" s="16" t="n">
        <f aca="false">$N164*MAX(0,(MIN($G164,DATE(2026,7,31))-MAX($E164,DATE(2026,7,1))+1))/$O164</f>
        <v>27975</v>
      </c>
      <c r="R164" s="16" t="n">
        <f aca="false">$N164*MAX(0,(MIN($G164,DATE(2026,8,31))-MAX($E164,DATE(2026,8,1))+1))/$O164</f>
        <v>0</v>
      </c>
      <c r="S164" s="16" t="n">
        <f aca="false">$N164*MAX(0,(MIN($G164,DATE(2026,9,30))-MAX($E164,DATE(2026,9,1))+1))/$O164</f>
        <v>0</v>
      </c>
      <c r="T164" s="16" t="n">
        <f aca="false">$N164*MAX(0,(MIN($G164,DATE(2026,10,31))-MAX($E164,DATE(2026,10,1))+1))/$O164</f>
        <v>0</v>
      </c>
      <c r="U164" s="16" t="n">
        <f aca="false">$N164*MAX(0,(MIN($G164,DATE(2026,11,30))-MAX($E164,DATE(2026,11,1))+1))/$O164</f>
        <v>0</v>
      </c>
      <c r="V164" s="16" t="n">
        <f aca="false">$N164*MAX(0,(MIN($G164,DATE(2026,12,31))-MAX($E164,DATE(2026,12,1))+1))/$O164</f>
        <v>0</v>
      </c>
      <c r="W164" s="17" t="n">
        <f aca="false">$H164*MAX(0,(MIN($G164,DATE(2026,7,31))-MAX($E164,DATE(2026,7,1))+1))/30.4</f>
        <v>0.444078947368421</v>
      </c>
      <c r="X164" s="17" t="n">
        <f aca="false">$H164*MAX(0,(MIN($G164,DATE(2026,8,31))-MAX($E164,DATE(2026,8,1))+1))/30.4</f>
        <v>0</v>
      </c>
      <c r="Y164" s="17" t="n">
        <f aca="false">$H164*MAX(0,(MIN($G164,DATE(2026,9,30))-MAX($E164,DATE(2026,9,1))+1))/30.4</f>
        <v>0</v>
      </c>
      <c r="Z164" s="17" t="n">
        <f aca="false">$H164*MAX(0,(MIN($G164,DATE(2026,10,31))-MAX($E164,DATE(2026,10,1))+1))/30.4</f>
        <v>0</v>
      </c>
      <c r="AA164" s="17" t="n">
        <f aca="false">$H164*MAX(0,(MIN($G164,DATE(2026,11,30))-MAX($E164,DATE(2026,11,1))+1))/30.4</f>
        <v>0</v>
      </c>
      <c r="AB164" s="17" t="n">
        <f aca="false">$H164*MAX(0,(MIN($G164,DATE(2026,12,31))-MAX($E164,DATE(2026,12,1))+1))/30.4</f>
        <v>0</v>
      </c>
    </row>
    <row r="165" customFormat="false" ht="15" hidden="false" customHeight="false" outlineLevel="0" collapsed="false">
      <c r="A165" s="10" t="n">
        <v>114</v>
      </c>
      <c r="B165" s="10" t="n">
        <v>1</v>
      </c>
      <c r="C165" s="10"/>
      <c r="D165" s="10" t="s">
        <v>45</v>
      </c>
      <c r="E165" s="12" t="n">
        <v>46195</v>
      </c>
      <c r="F165" s="10" t="n">
        <v>5</v>
      </c>
      <c r="G165" s="12" t="n">
        <v>46230</v>
      </c>
      <c r="H165" s="13" t="n">
        <v>1</v>
      </c>
      <c r="I165" s="10" t="s">
        <v>126</v>
      </c>
      <c r="J165" s="14" t="str">
        <f aca="false">IFERROR(VLOOKUP(D165,Role_Mapping!$A$5:$D$31,2,FALSE()),"UNMAPPED")</f>
        <v>Associate Consultant</v>
      </c>
      <c r="K165" s="14" t="str">
        <f aca="false">IFERROR(VLOOKUP(D165,Role_Mapping!$A$5:$D$31,3,FALSE()),"IN")</f>
        <v>IN</v>
      </c>
      <c r="L165" s="15" t="n">
        <f aca="false">IFERROR(SUMPRODUCT((Rate_Card!$A$5:$A$34=J165)*(Rate_Card!$B$5:$B$34=K165)*Rate_Card!$C$5:$C$34),0)</f>
        <v>585</v>
      </c>
      <c r="M165" s="10" t="n">
        <f aca="false">F165*5</f>
        <v>25</v>
      </c>
      <c r="N165" s="16" t="n">
        <f aca="false">L165*M165*H165</f>
        <v>14625</v>
      </c>
      <c r="O165" s="10" t="n">
        <f aca="false">(G165-E165)+1</f>
        <v>36</v>
      </c>
      <c r="P165" s="14" t="str">
        <f aca="false">IFERROR(VLOOKUP(D165,Role_Mapping!$A$5:$D$31,4,FALSE()),"UNMAPPED")</f>
        <v>Consulting</v>
      </c>
      <c r="Q165" s="16" t="n">
        <f aca="false">$N165*MAX(0,(MIN($G165,DATE(2026,7,31))-MAX($E165,DATE(2026,7,1))+1))/$O165</f>
        <v>10968.75</v>
      </c>
      <c r="R165" s="16" t="n">
        <f aca="false">$N165*MAX(0,(MIN($G165,DATE(2026,8,31))-MAX($E165,DATE(2026,8,1))+1))/$O165</f>
        <v>0</v>
      </c>
      <c r="S165" s="16" t="n">
        <f aca="false">$N165*MAX(0,(MIN($G165,DATE(2026,9,30))-MAX($E165,DATE(2026,9,1))+1))/$O165</f>
        <v>0</v>
      </c>
      <c r="T165" s="16" t="n">
        <f aca="false">$N165*MAX(0,(MIN($G165,DATE(2026,10,31))-MAX($E165,DATE(2026,10,1))+1))/$O165</f>
        <v>0</v>
      </c>
      <c r="U165" s="16" t="n">
        <f aca="false">$N165*MAX(0,(MIN($G165,DATE(2026,11,30))-MAX($E165,DATE(2026,11,1))+1))/$O165</f>
        <v>0</v>
      </c>
      <c r="V165" s="16" t="n">
        <f aca="false">$N165*MAX(0,(MIN($G165,DATE(2026,12,31))-MAX($E165,DATE(2026,12,1))+1))/$O165</f>
        <v>0</v>
      </c>
      <c r="W165" s="17" t="n">
        <f aca="false">$H165*MAX(0,(MIN($G165,DATE(2026,7,31))-MAX($E165,DATE(2026,7,1))+1))/30.4</f>
        <v>0.888157894736842</v>
      </c>
      <c r="X165" s="17" t="n">
        <f aca="false">$H165*MAX(0,(MIN($G165,DATE(2026,8,31))-MAX($E165,DATE(2026,8,1))+1))/30.4</f>
        <v>0</v>
      </c>
      <c r="Y165" s="17" t="n">
        <f aca="false">$H165*MAX(0,(MIN($G165,DATE(2026,9,30))-MAX($E165,DATE(2026,9,1))+1))/30.4</f>
        <v>0</v>
      </c>
      <c r="Z165" s="17" t="n">
        <f aca="false">$H165*MAX(0,(MIN($G165,DATE(2026,10,31))-MAX($E165,DATE(2026,10,1))+1))/30.4</f>
        <v>0</v>
      </c>
      <c r="AA165" s="17" t="n">
        <f aca="false">$H165*MAX(0,(MIN($G165,DATE(2026,11,30))-MAX($E165,DATE(2026,11,1))+1))/30.4</f>
        <v>0</v>
      </c>
      <c r="AB165" s="17" t="n">
        <f aca="false">$H165*MAX(0,(MIN($G165,DATE(2026,12,31))-MAX($E165,DATE(2026,12,1))+1))/30.4</f>
        <v>0</v>
      </c>
    </row>
    <row r="166" customFormat="false" ht="15" hidden="false" customHeight="false" outlineLevel="0" collapsed="false">
      <c r="A166" s="10" t="n">
        <v>115</v>
      </c>
      <c r="B166" s="10" t="n">
        <v>1</v>
      </c>
      <c r="C166" s="10"/>
      <c r="D166" s="10" t="s">
        <v>77</v>
      </c>
      <c r="E166" s="12" t="n">
        <v>46195</v>
      </c>
      <c r="F166" s="10" t="n">
        <v>5</v>
      </c>
      <c r="G166" s="12" t="n">
        <v>46230</v>
      </c>
      <c r="H166" s="13" t="n">
        <v>1</v>
      </c>
      <c r="I166" s="10" t="s">
        <v>113</v>
      </c>
      <c r="J166" s="14" t="str">
        <f aca="false">IFERROR(VLOOKUP(D166,Role_Mapping!$A$5:$D$31,2,FALSE()),"UNMAPPED")</f>
        <v>Senior Software Engineer</v>
      </c>
      <c r="K166" s="14" t="str">
        <f aca="false">IFERROR(VLOOKUP(D166,Role_Mapping!$A$5:$D$31,3,FALSE()),"IN")</f>
        <v>IN</v>
      </c>
      <c r="L166" s="15" t="n">
        <f aca="false">IFERROR(SUMPRODUCT((Rate_Card!$A$5:$A$34=J166)*(Rate_Card!$B$5:$B$34=K166)*Rate_Card!$C$5:$C$34),0)</f>
        <v>585</v>
      </c>
      <c r="M166" s="10" t="n">
        <f aca="false">F166*5</f>
        <v>25</v>
      </c>
      <c r="N166" s="16" t="n">
        <f aca="false">L166*M166*H166</f>
        <v>14625</v>
      </c>
      <c r="O166" s="10" t="n">
        <f aca="false">(G166-E166)+1</f>
        <v>36</v>
      </c>
      <c r="P166" s="14" t="str">
        <f aca="false">IFERROR(VLOOKUP(D166,Role_Mapping!$A$5:$D$31,4,FALSE()),"UNMAPPED")</f>
        <v>Full Stack</v>
      </c>
      <c r="Q166" s="16" t="n">
        <f aca="false">$N166*MAX(0,(MIN($G166,DATE(2026,7,31))-MAX($E166,DATE(2026,7,1))+1))/$O166</f>
        <v>10968.75</v>
      </c>
      <c r="R166" s="16" t="n">
        <f aca="false">$N166*MAX(0,(MIN($G166,DATE(2026,8,31))-MAX($E166,DATE(2026,8,1))+1))/$O166</f>
        <v>0</v>
      </c>
      <c r="S166" s="16" t="n">
        <f aca="false">$N166*MAX(0,(MIN($G166,DATE(2026,9,30))-MAX($E166,DATE(2026,9,1))+1))/$O166</f>
        <v>0</v>
      </c>
      <c r="T166" s="16" t="n">
        <f aca="false">$N166*MAX(0,(MIN($G166,DATE(2026,10,31))-MAX($E166,DATE(2026,10,1))+1))/$O166</f>
        <v>0</v>
      </c>
      <c r="U166" s="16" t="n">
        <f aca="false">$N166*MAX(0,(MIN($G166,DATE(2026,11,30))-MAX($E166,DATE(2026,11,1))+1))/$O166</f>
        <v>0</v>
      </c>
      <c r="V166" s="16" t="n">
        <f aca="false">$N166*MAX(0,(MIN($G166,DATE(2026,12,31))-MAX($E166,DATE(2026,12,1))+1))/$O166</f>
        <v>0</v>
      </c>
      <c r="W166" s="17" t="n">
        <f aca="false">$H166*MAX(0,(MIN($G166,DATE(2026,7,31))-MAX($E166,DATE(2026,7,1))+1))/30.4</f>
        <v>0.888157894736842</v>
      </c>
      <c r="X166" s="17" t="n">
        <f aca="false">$H166*MAX(0,(MIN($G166,DATE(2026,8,31))-MAX($E166,DATE(2026,8,1))+1))/30.4</f>
        <v>0</v>
      </c>
      <c r="Y166" s="17" t="n">
        <f aca="false">$H166*MAX(0,(MIN($G166,DATE(2026,9,30))-MAX($E166,DATE(2026,9,1))+1))/30.4</f>
        <v>0</v>
      </c>
      <c r="Z166" s="17" t="n">
        <f aca="false">$H166*MAX(0,(MIN($G166,DATE(2026,10,31))-MAX($E166,DATE(2026,10,1))+1))/30.4</f>
        <v>0</v>
      </c>
      <c r="AA166" s="17" t="n">
        <f aca="false">$H166*MAX(0,(MIN($G166,DATE(2026,11,30))-MAX($E166,DATE(2026,11,1))+1))/30.4</f>
        <v>0</v>
      </c>
      <c r="AB166" s="17" t="n">
        <f aca="false">$H166*MAX(0,(MIN($G166,DATE(2026,12,31))-MAX($E166,DATE(2026,12,1))+1))/30.4</f>
        <v>0</v>
      </c>
    </row>
    <row r="167" customFormat="false" ht="15" hidden="false" customHeight="false" outlineLevel="0" collapsed="false">
      <c r="A167" s="10" t="n">
        <v>116</v>
      </c>
      <c r="B167" s="10" t="n">
        <v>3</v>
      </c>
      <c r="C167" s="10" t="s">
        <v>147</v>
      </c>
      <c r="D167" s="10" t="s">
        <v>62</v>
      </c>
      <c r="E167" s="12" t="n">
        <v>46202</v>
      </c>
      <c r="F167" s="10" t="n">
        <v>3</v>
      </c>
      <c r="G167" s="12" t="n">
        <v>46223</v>
      </c>
      <c r="H167" s="13" t="n">
        <v>0.125</v>
      </c>
      <c r="I167" s="10" t="s">
        <v>126</v>
      </c>
      <c r="J167" s="14" t="str">
        <f aca="false">IFERROR(VLOOKUP(D167,Role_Mapping!$A$5:$D$31,2,FALSE()),"UNMAPPED")</f>
        <v>Associate Partner</v>
      </c>
      <c r="K167" s="14" t="str">
        <f aca="false">IFERROR(VLOOKUP(D167,Role_Mapping!$A$5:$D$31,3,FALSE()),"IN")</f>
        <v>UK</v>
      </c>
      <c r="L167" s="15" t="n">
        <f aca="false">IFERROR(SUMPRODUCT((Rate_Card!$A$5:$A$34=J167)*(Rate_Card!$B$5:$B$34=K167)*Rate_Card!$C$5:$C$34),0)</f>
        <v>3526</v>
      </c>
      <c r="M167" s="10" t="n">
        <f aca="false">F167*5</f>
        <v>15</v>
      </c>
      <c r="N167" s="16" t="n">
        <f aca="false">L167*M167*H167</f>
        <v>6611.25</v>
      </c>
      <c r="O167" s="10" t="n">
        <f aca="false">(G167-E167)+1</f>
        <v>22</v>
      </c>
      <c r="P167" s="14" t="str">
        <f aca="false">IFERROR(VLOOKUP(D167,Role_Mapping!$A$5:$D$31,4,FALSE()),"UNMAPPED")</f>
        <v>GTM</v>
      </c>
      <c r="Q167" s="16" t="n">
        <f aca="false">$N167*MAX(0,(MIN($G167,DATE(2026,7,31))-MAX($E167,DATE(2026,7,1))+1))/$O167</f>
        <v>6010.22727272727</v>
      </c>
      <c r="R167" s="16" t="n">
        <f aca="false">$N167*MAX(0,(MIN($G167,DATE(2026,8,31))-MAX($E167,DATE(2026,8,1))+1))/$O167</f>
        <v>0</v>
      </c>
      <c r="S167" s="16" t="n">
        <f aca="false">$N167*MAX(0,(MIN($G167,DATE(2026,9,30))-MAX($E167,DATE(2026,9,1))+1))/$O167</f>
        <v>0</v>
      </c>
      <c r="T167" s="16" t="n">
        <f aca="false">$N167*MAX(0,(MIN($G167,DATE(2026,10,31))-MAX($E167,DATE(2026,10,1))+1))/$O167</f>
        <v>0</v>
      </c>
      <c r="U167" s="16" t="n">
        <f aca="false">$N167*MAX(0,(MIN($G167,DATE(2026,11,30))-MAX($E167,DATE(2026,11,1))+1))/$O167</f>
        <v>0</v>
      </c>
      <c r="V167" s="16" t="n">
        <f aca="false">$N167*MAX(0,(MIN($G167,DATE(2026,12,31))-MAX($E167,DATE(2026,12,1))+1))/$O167</f>
        <v>0</v>
      </c>
      <c r="W167" s="17" t="n">
        <f aca="false">$H167*MAX(0,(MIN($G167,DATE(2026,7,31))-MAX($E167,DATE(2026,7,1))+1))/30.4</f>
        <v>0.0822368421052632</v>
      </c>
      <c r="X167" s="17" t="n">
        <f aca="false">$H167*MAX(0,(MIN($G167,DATE(2026,8,31))-MAX($E167,DATE(2026,8,1))+1))/30.4</f>
        <v>0</v>
      </c>
      <c r="Y167" s="17" t="n">
        <f aca="false">$H167*MAX(0,(MIN($G167,DATE(2026,9,30))-MAX($E167,DATE(2026,9,1))+1))/30.4</f>
        <v>0</v>
      </c>
      <c r="Z167" s="17" t="n">
        <f aca="false">$H167*MAX(0,(MIN($G167,DATE(2026,10,31))-MAX($E167,DATE(2026,10,1))+1))/30.4</f>
        <v>0</v>
      </c>
      <c r="AA167" s="17" t="n">
        <f aca="false">$H167*MAX(0,(MIN($G167,DATE(2026,11,30))-MAX($E167,DATE(2026,11,1))+1))/30.4</f>
        <v>0</v>
      </c>
      <c r="AB167" s="17" t="n">
        <f aca="false">$H167*MAX(0,(MIN($G167,DATE(2026,12,31))-MAX($E167,DATE(2026,12,1))+1))/30.4</f>
        <v>0</v>
      </c>
    </row>
    <row r="168" customFormat="false" ht="15" hidden="false" customHeight="false" outlineLevel="0" collapsed="false">
      <c r="A168" s="10" t="n">
        <v>117</v>
      </c>
      <c r="B168" s="10" t="n">
        <v>3</v>
      </c>
      <c r="C168" s="10"/>
      <c r="D168" s="10" t="s">
        <v>60</v>
      </c>
      <c r="E168" s="12" t="n">
        <v>46202</v>
      </c>
      <c r="F168" s="10" t="n">
        <v>5</v>
      </c>
      <c r="G168" s="12" t="n">
        <v>46237</v>
      </c>
      <c r="H168" s="13" t="n">
        <v>0.125</v>
      </c>
      <c r="I168" s="10" t="s">
        <v>126</v>
      </c>
      <c r="J168" s="14" t="str">
        <f aca="false">IFERROR(VLOOKUP(D168,Role_Mapping!$A$5:$D$31,2,FALSE()),"UNMAPPED")</f>
        <v>Principal Technology Architect</v>
      </c>
      <c r="K168" s="14" t="str">
        <f aca="false">IFERROR(VLOOKUP(D168,Role_Mapping!$A$5:$D$31,3,FALSE()),"IN")</f>
        <v>IN</v>
      </c>
      <c r="L168" s="15" t="n">
        <f aca="false">IFERROR(SUMPRODUCT((Rate_Card!$A$5:$A$34=J168)*(Rate_Card!$B$5:$B$34=K168)*Rate_Card!$C$5:$C$34),0)</f>
        <v>845</v>
      </c>
      <c r="M168" s="10" t="n">
        <f aca="false">F168*5</f>
        <v>25</v>
      </c>
      <c r="N168" s="16" t="n">
        <f aca="false">L168*M168*H168</f>
        <v>2640.625</v>
      </c>
      <c r="O168" s="10" t="n">
        <f aca="false">(G168-E168)+1</f>
        <v>36</v>
      </c>
      <c r="P168" s="14" t="str">
        <f aca="false">IFERROR(VLOOKUP(D168,Role_Mapping!$A$5:$D$31,4,FALSE()),"UNMAPPED")</f>
        <v>GTM</v>
      </c>
      <c r="Q168" s="16" t="n">
        <f aca="false">$N168*MAX(0,(MIN($G168,DATE(2026,7,31))-MAX($E168,DATE(2026,7,1))+1))/$O168</f>
        <v>2273.87152777778</v>
      </c>
      <c r="R168" s="16" t="n">
        <f aca="false">$N168*MAX(0,(MIN($G168,DATE(2026,8,31))-MAX($E168,DATE(2026,8,1))+1))/$O168</f>
        <v>220.052083333333</v>
      </c>
      <c r="S168" s="16" t="n">
        <f aca="false">$N168*MAX(0,(MIN($G168,DATE(2026,9,30))-MAX($E168,DATE(2026,9,1))+1))/$O168</f>
        <v>0</v>
      </c>
      <c r="T168" s="16" t="n">
        <f aca="false">$N168*MAX(0,(MIN($G168,DATE(2026,10,31))-MAX($E168,DATE(2026,10,1))+1))/$O168</f>
        <v>0</v>
      </c>
      <c r="U168" s="16" t="n">
        <f aca="false">$N168*MAX(0,(MIN($G168,DATE(2026,11,30))-MAX($E168,DATE(2026,11,1))+1))/$O168</f>
        <v>0</v>
      </c>
      <c r="V168" s="16" t="n">
        <f aca="false">$N168*MAX(0,(MIN($G168,DATE(2026,12,31))-MAX($E168,DATE(2026,12,1))+1))/$O168</f>
        <v>0</v>
      </c>
      <c r="W168" s="17" t="n">
        <f aca="false">$H168*MAX(0,(MIN($G168,DATE(2026,7,31))-MAX($E168,DATE(2026,7,1))+1))/30.4</f>
        <v>0.127467105263158</v>
      </c>
      <c r="X168" s="17" t="n">
        <f aca="false">$H168*MAX(0,(MIN($G168,DATE(2026,8,31))-MAX($E168,DATE(2026,8,1))+1))/30.4</f>
        <v>0.0123355263157895</v>
      </c>
      <c r="Y168" s="17" t="n">
        <f aca="false">$H168*MAX(0,(MIN($G168,DATE(2026,9,30))-MAX($E168,DATE(2026,9,1))+1))/30.4</f>
        <v>0</v>
      </c>
      <c r="Z168" s="17" t="n">
        <f aca="false">$H168*MAX(0,(MIN($G168,DATE(2026,10,31))-MAX($E168,DATE(2026,10,1))+1))/30.4</f>
        <v>0</v>
      </c>
      <c r="AA168" s="17" t="n">
        <f aca="false">$H168*MAX(0,(MIN($G168,DATE(2026,11,30))-MAX($E168,DATE(2026,11,1))+1))/30.4</f>
        <v>0</v>
      </c>
      <c r="AB168" s="17" t="n">
        <f aca="false">$H168*MAX(0,(MIN($G168,DATE(2026,12,31))-MAX($E168,DATE(2026,12,1))+1))/30.4</f>
        <v>0</v>
      </c>
    </row>
    <row r="169" customFormat="false" ht="15" hidden="false" customHeight="false" outlineLevel="0" collapsed="false">
      <c r="A169" s="10" t="n">
        <v>118</v>
      </c>
      <c r="B169" s="10" t="n">
        <v>3</v>
      </c>
      <c r="C169" s="10"/>
      <c r="D169" s="10" t="s">
        <v>82</v>
      </c>
      <c r="E169" s="12" t="n">
        <v>46202</v>
      </c>
      <c r="F169" s="10" t="n">
        <v>5</v>
      </c>
      <c r="G169" s="12" t="n">
        <v>46237</v>
      </c>
      <c r="H169" s="13" t="n">
        <v>0.125</v>
      </c>
      <c r="I169" s="10" t="s">
        <v>126</v>
      </c>
      <c r="J169" s="14" t="str">
        <f aca="false">IFERROR(VLOOKUP(D169,Role_Mapping!$A$5:$D$31,2,FALSE()),"UNMAPPED")</f>
        <v>Technical Solutions Architect</v>
      </c>
      <c r="K169" s="14" t="str">
        <f aca="false">IFERROR(VLOOKUP(D169,Role_Mapping!$A$5:$D$31,3,FALSE()),"IN")</f>
        <v>IN</v>
      </c>
      <c r="L169" s="15" t="n">
        <f aca="false">IFERROR(SUMPRODUCT((Rate_Card!$A$5:$A$34=J169)*(Rate_Card!$B$5:$B$34=K169)*Rate_Card!$C$5:$C$34),0)</f>
        <v>748</v>
      </c>
      <c r="M169" s="10" t="n">
        <f aca="false">F169*5</f>
        <v>25</v>
      </c>
      <c r="N169" s="16" t="n">
        <f aca="false">L169*M169*H169</f>
        <v>2337.5</v>
      </c>
      <c r="O169" s="10" t="n">
        <f aca="false">(G169-E169)+1</f>
        <v>36</v>
      </c>
      <c r="P169" s="14" t="str">
        <f aca="false">IFERROR(VLOOKUP(D169,Role_Mapping!$A$5:$D$31,4,FALSE()),"UNMAPPED")</f>
        <v>Data Science &amp; AI</v>
      </c>
      <c r="Q169" s="16" t="n">
        <f aca="false">$N169*MAX(0,(MIN($G169,DATE(2026,7,31))-MAX($E169,DATE(2026,7,1))+1))/$O169</f>
        <v>2012.84722222222</v>
      </c>
      <c r="R169" s="16" t="n">
        <f aca="false">$N169*MAX(0,(MIN($G169,DATE(2026,8,31))-MAX($E169,DATE(2026,8,1))+1))/$O169</f>
        <v>194.791666666667</v>
      </c>
      <c r="S169" s="16" t="n">
        <f aca="false">$N169*MAX(0,(MIN($G169,DATE(2026,9,30))-MAX($E169,DATE(2026,9,1))+1))/$O169</f>
        <v>0</v>
      </c>
      <c r="T169" s="16" t="n">
        <f aca="false">$N169*MAX(0,(MIN($G169,DATE(2026,10,31))-MAX($E169,DATE(2026,10,1))+1))/$O169</f>
        <v>0</v>
      </c>
      <c r="U169" s="16" t="n">
        <f aca="false">$N169*MAX(0,(MIN($G169,DATE(2026,11,30))-MAX($E169,DATE(2026,11,1))+1))/$O169</f>
        <v>0</v>
      </c>
      <c r="V169" s="16" t="n">
        <f aca="false">$N169*MAX(0,(MIN($G169,DATE(2026,12,31))-MAX($E169,DATE(2026,12,1))+1))/$O169</f>
        <v>0</v>
      </c>
      <c r="W169" s="17" t="n">
        <f aca="false">$H169*MAX(0,(MIN($G169,DATE(2026,7,31))-MAX($E169,DATE(2026,7,1))+1))/30.4</f>
        <v>0.127467105263158</v>
      </c>
      <c r="X169" s="17" t="n">
        <f aca="false">$H169*MAX(0,(MIN($G169,DATE(2026,8,31))-MAX($E169,DATE(2026,8,1))+1))/30.4</f>
        <v>0.0123355263157895</v>
      </c>
      <c r="Y169" s="17" t="n">
        <f aca="false">$H169*MAX(0,(MIN($G169,DATE(2026,9,30))-MAX($E169,DATE(2026,9,1))+1))/30.4</f>
        <v>0</v>
      </c>
      <c r="Z169" s="17" t="n">
        <f aca="false">$H169*MAX(0,(MIN($G169,DATE(2026,10,31))-MAX($E169,DATE(2026,10,1))+1))/30.4</f>
        <v>0</v>
      </c>
      <c r="AA169" s="17" t="n">
        <f aca="false">$H169*MAX(0,(MIN($G169,DATE(2026,11,30))-MAX($E169,DATE(2026,11,1))+1))/30.4</f>
        <v>0</v>
      </c>
      <c r="AB169" s="17" t="n">
        <f aca="false">$H169*MAX(0,(MIN($G169,DATE(2026,12,31))-MAX($E169,DATE(2026,12,1))+1))/30.4</f>
        <v>0</v>
      </c>
    </row>
    <row r="170" customFormat="false" ht="15" hidden="false" customHeight="false" outlineLevel="0" collapsed="false">
      <c r="A170" s="10" t="n">
        <v>119</v>
      </c>
      <c r="B170" s="10" t="n">
        <v>3</v>
      </c>
      <c r="C170" s="10"/>
      <c r="D170" s="10" t="s">
        <v>56</v>
      </c>
      <c r="E170" s="12" t="n">
        <v>46202</v>
      </c>
      <c r="F170" s="10" t="n">
        <v>5</v>
      </c>
      <c r="G170" s="12" t="n">
        <v>46237</v>
      </c>
      <c r="H170" s="13" t="n">
        <v>0.5</v>
      </c>
      <c r="I170" s="10" t="s">
        <v>126</v>
      </c>
      <c r="J170" s="14" t="str">
        <f aca="false">IFERROR(VLOOKUP(D170,Role_Mapping!$A$5:$D$31,2,FALSE()),"UNMAPPED")</f>
        <v>Manager</v>
      </c>
      <c r="K170" s="14" t="str">
        <f aca="false">IFERROR(VLOOKUP(D170,Role_Mapping!$A$5:$D$31,3,FALSE()),"IN")</f>
        <v>UK</v>
      </c>
      <c r="L170" s="15" t="n">
        <f aca="false">IFERROR(SUMPRODUCT((Rate_Card!$A$5:$A$34=J170)*(Rate_Card!$B$5:$B$34=K170)*Rate_Card!$C$5:$C$34),0)</f>
        <v>2984</v>
      </c>
      <c r="M170" s="10" t="n">
        <f aca="false">F170*5</f>
        <v>25</v>
      </c>
      <c r="N170" s="16" t="n">
        <f aca="false">L170*M170*H170</f>
        <v>37300</v>
      </c>
      <c r="O170" s="10" t="n">
        <f aca="false">(G170-E170)+1</f>
        <v>36</v>
      </c>
      <c r="P170" s="14" t="str">
        <f aca="false">IFERROR(VLOOKUP(D170,Role_Mapping!$A$5:$D$31,4,FALSE()),"UNMAPPED")</f>
        <v>Consulting</v>
      </c>
      <c r="Q170" s="16" t="n">
        <f aca="false">$N170*MAX(0,(MIN($G170,DATE(2026,7,31))-MAX($E170,DATE(2026,7,1))+1))/$O170</f>
        <v>32119.4444444444</v>
      </c>
      <c r="R170" s="16" t="n">
        <f aca="false">$N170*MAX(0,(MIN($G170,DATE(2026,8,31))-MAX($E170,DATE(2026,8,1))+1))/$O170</f>
        <v>3108.33333333333</v>
      </c>
      <c r="S170" s="16" t="n">
        <f aca="false">$N170*MAX(0,(MIN($G170,DATE(2026,9,30))-MAX($E170,DATE(2026,9,1))+1))/$O170</f>
        <v>0</v>
      </c>
      <c r="T170" s="16" t="n">
        <f aca="false">$N170*MAX(0,(MIN($G170,DATE(2026,10,31))-MAX($E170,DATE(2026,10,1))+1))/$O170</f>
        <v>0</v>
      </c>
      <c r="U170" s="16" t="n">
        <f aca="false">$N170*MAX(0,(MIN($G170,DATE(2026,11,30))-MAX($E170,DATE(2026,11,1))+1))/$O170</f>
        <v>0</v>
      </c>
      <c r="V170" s="16" t="n">
        <f aca="false">$N170*MAX(0,(MIN($G170,DATE(2026,12,31))-MAX($E170,DATE(2026,12,1))+1))/$O170</f>
        <v>0</v>
      </c>
      <c r="W170" s="17" t="n">
        <f aca="false">$H170*MAX(0,(MIN($G170,DATE(2026,7,31))-MAX($E170,DATE(2026,7,1))+1))/30.4</f>
        <v>0.509868421052632</v>
      </c>
      <c r="X170" s="17" t="n">
        <f aca="false">$H170*MAX(0,(MIN($G170,DATE(2026,8,31))-MAX($E170,DATE(2026,8,1))+1))/30.4</f>
        <v>0.0493421052631579</v>
      </c>
      <c r="Y170" s="17" t="n">
        <f aca="false">$H170*MAX(0,(MIN($G170,DATE(2026,9,30))-MAX($E170,DATE(2026,9,1))+1))/30.4</f>
        <v>0</v>
      </c>
      <c r="Z170" s="17" t="n">
        <f aca="false">$H170*MAX(0,(MIN($G170,DATE(2026,10,31))-MAX($E170,DATE(2026,10,1))+1))/30.4</f>
        <v>0</v>
      </c>
      <c r="AA170" s="17" t="n">
        <f aca="false">$H170*MAX(0,(MIN($G170,DATE(2026,11,30))-MAX($E170,DATE(2026,11,1))+1))/30.4</f>
        <v>0</v>
      </c>
      <c r="AB170" s="17" t="n">
        <f aca="false">$H170*MAX(0,(MIN($G170,DATE(2026,12,31))-MAX($E170,DATE(2026,12,1))+1))/30.4</f>
        <v>0</v>
      </c>
    </row>
    <row r="171" customFormat="false" ht="15" hidden="false" customHeight="false" outlineLevel="0" collapsed="false">
      <c r="A171" s="10" t="n">
        <v>120</v>
      </c>
      <c r="B171" s="10" t="n">
        <v>3</v>
      </c>
      <c r="C171" s="10"/>
      <c r="D171" s="10" t="s">
        <v>54</v>
      </c>
      <c r="E171" s="12" t="n">
        <v>46202</v>
      </c>
      <c r="F171" s="10" t="n">
        <v>5</v>
      </c>
      <c r="G171" s="12" t="n">
        <v>46237</v>
      </c>
      <c r="H171" s="13" t="n">
        <v>1</v>
      </c>
      <c r="I171" s="10" t="s">
        <v>126</v>
      </c>
      <c r="J171" s="14" t="str">
        <f aca="false">IFERROR(VLOOKUP(D171,Role_Mapping!$A$5:$D$31,2,FALSE()),"UNMAPPED")</f>
        <v>Consultant</v>
      </c>
      <c r="K171" s="14" t="str">
        <f aca="false">IFERROR(VLOOKUP(D171,Role_Mapping!$A$5:$D$31,3,FALSE()),"IN")</f>
        <v>IN</v>
      </c>
      <c r="L171" s="15" t="n">
        <f aca="false">IFERROR(SUMPRODUCT((Rate_Card!$A$5:$A$34=J171)*(Rate_Card!$B$5:$B$34=K171)*Rate_Card!$C$5:$C$34),0)</f>
        <v>683</v>
      </c>
      <c r="M171" s="10" t="n">
        <f aca="false">F171*5</f>
        <v>25</v>
      </c>
      <c r="N171" s="16" t="n">
        <f aca="false">L171*M171*H171</f>
        <v>17075</v>
      </c>
      <c r="O171" s="10" t="n">
        <f aca="false">(G171-E171)+1</f>
        <v>36</v>
      </c>
      <c r="P171" s="14" t="str">
        <f aca="false">IFERROR(VLOOKUP(D171,Role_Mapping!$A$5:$D$31,4,FALSE()),"UNMAPPED")</f>
        <v>Consulting</v>
      </c>
      <c r="Q171" s="16" t="n">
        <f aca="false">$N171*MAX(0,(MIN($G171,DATE(2026,7,31))-MAX($E171,DATE(2026,7,1))+1))/$O171</f>
        <v>14703.4722222222</v>
      </c>
      <c r="R171" s="16" t="n">
        <f aca="false">$N171*MAX(0,(MIN($G171,DATE(2026,8,31))-MAX($E171,DATE(2026,8,1))+1))/$O171</f>
        <v>1422.91666666667</v>
      </c>
      <c r="S171" s="16" t="n">
        <f aca="false">$N171*MAX(0,(MIN($G171,DATE(2026,9,30))-MAX($E171,DATE(2026,9,1))+1))/$O171</f>
        <v>0</v>
      </c>
      <c r="T171" s="16" t="n">
        <f aca="false">$N171*MAX(0,(MIN($G171,DATE(2026,10,31))-MAX($E171,DATE(2026,10,1))+1))/$O171</f>
        <v>0</v>
      </c>
      <c r="U171" s="16" t="n">
        <f aca="false">$N171*MAX(0,(MIN($G171,DATE(2026,11,30))-MAX($E171,DATE(2026,11,1))+1))/$O171</f>
        <v>0</v>
      </c>
      <c r="V171" s="16" t="n">
        <f aca="false">$N171*MAX(0,(MIN($G171,DATE(2026,12,31))-MAX($E171,DATE(2026,12,1))+1))/$O171</f>
        <v>0</v>
      </c>
      <c r="W171" s="17" t="n">
        <f aca="false">$H171*MAX(0,(MIN($G171,DATE(2026,7,31))-MAX($E171,DATE(2026,7,1))+1))/30.4</f>
        <v>1.01973684210526</v>
      </c>
      <c r="X171" s="17" t="n">
        <f aca="false">$H171*MAX(0,(MIN($G171,DATE(2026,8,31))-MAX($E171,DATE(2026,8,1))+1))/30.4</f>
        <v>0.0986842105263158</v>
      </c>
      <c r="Y171" s="17" t="n">
        <f aca="false">$H171*MAX(0,(MIN($G171,DATE(2026,9,30))-MAX($E171,DATE(2026,9,1))+1))/30.4</f>
        <v>0</v>
      </c>
      <c r="Z171" s="17" t="n">
        <f aca="false">$H171*MAX(0,(MIN($G171,DATE(2026,10,31))-MAX($E171,DATE(2026,10,1))+1))/30.4</f>
        <v>0</v>
      </c>
      <c r="AA171" s="17" t="n">
        <f aca="false">$H171*MAX(0,(MIN($G171,DATE(2026,11,30))-MAX($E171,DATE(2026,11,1))+1))/30.4</f>
        <v>0</v>
      </c>
      <c r="AB171" s="17" t="n">
        <f aca="false">$H171*MAX(0,(MIN($G171,DATE(2026,12,31))-MAX($E171,DATE(2026,12,1))+1))/30.4</f>
        <v>0</v>
      </c>
    </row>
    <row r="172" customFormat="false" ht="15" hidden="false" customHeight="false" outlineLevel="0" collapsed="false">
      <c r="A172" s="10" t="n">
        <v>121</v>
      </c>
      <c r="B172" s="10" t="n">
        <v>3</v>
      </c>
      <c r="C172" s="10"/>
      <c r="D172" s="10" t="s">
        <v>81</v>
      </c>
      <c r="E172" s="12" t="n">
        <v>46202</v>
      </c>
      <c r="F172" s="10" t="n">
        <v>5</v>
      </c>
      <c r="G172" s="12" t="n">
        <v>46237</v>
      </c>
      <c r="H172" s="13" t="n">
        <v>1</v>
      </c>
      <c r="I172" s="10" t="s">
        <v>113</v>
      </c>
      <c r="J172" s="14" t="str">
        <f aca="false">IFERROR(VLOOKUP(D172,Role_Mapping!$A$5:$D$31,2,FALSE()),"UNMAPPED")</f>
        <v>Solutions Consultant</v>
      </c>
      <c r="K172" s="14" t="str">
        <f aca="false">IFERROR(VLOOKUP(D172,Role_Mapping!$A$5:$D$31,3,FALSE()),"IN")</f>
        <v>IN</v>
      </c>
      <c r="L172" s="15" t="n">
        <f aca="false">IFERROR(SUMPRODUCT((Rate_Card!$A$5:$A$34=J172)*(Rate_Card!$B$5:$B$34=K172)*Rate_Card!$C$5:$C$34),0)</f>
        <v>683</v>
      </c>
      <c r="M172" s="10" t="n">
        <f aca="false">F172*5</f>
        <v>25</v>
      </c>
      <c r="N172" s="16" t="n">
        <f aca="false">L172*M172*H172</f>
        <v>17075</v>
      </c>
      <c r="O172" s="10" t="n">
        <f aca="false">(G172-E172)+1</f>
        <v>36</v>
      </c>
      <c r="P172" s="14" t="str">
        <f aca="false">IFERROR(VLOOKUP(D172,Role_Mapping!$A$5:$D$31,4,FALSE()),"UNMAPPED")</f>
        <v>Power BI &amp; Consulting</v>
      </c>
      <c r="Q172" s="16" t="n">
        <f aca="false">$N172*MAX(0,(MIN($G172,DATE(2026,7,31))-MAX($E172,DATE(2026,7,1))+1))/$O172</f>
        <v>14703.4722222222</v>
      </c>
      <c r="R172" s="16" t="n">
        <f aca="false">$N172*MAX(0,(MIN($G172,DATE(2026,8,31))-MAX($E172,DATE(2026,8,1))+1))/$O172</f>
        <v>1422.91666666667</v>
      </c>
      <c r="S172" s="16" t="n">
        <f aca="false">$N172*MAX(0,(MIN($G172,DATE(2026,9,30))-MAX($E172,DATE(2026,9,1))+1))/$O172</f>
        <v>0</v>
      </c>
      <c r="T172" s="16" t="n">
        <f aca="false">$N172*MAX(0,(MIN($G172,DATE(2026,10,31))-MAX($E172,DATE(2026,10,1))+1))/$O172</f>
        <v>0</v>
      </c>
      <c r="U172" s="16" t="n">
        <f aca="false">$N172*MAX(0,(MIN($G172,DATE(2026,11,30))-MAX($E172,DATE(2026,11,1))+1))/$O172</f>
        <v>0</v>
      </c>
      <c r="V172" s="16" t="n">
        <f aca="false">$N172*MAX(0,(MIN($G172,DATE(2026,12,31))-MAX($E172,DATE(2026,12,1))+1))/$O172</f>
        <v>0</v>
      </c>
      <c r="W172" s="17" t="n">
        <f aca="false">$H172*MAX(0,(MIN($G172,DATE(2026,7,31))-MAX($E172,DATE(2026,7,1))+1))/30.4</f>
        <v>1.01973684210526</v>
      </c>
      <c r="X172" s="17" t="n">
        <f aca="false">$H172*MAX(0,(MIN($G172,DATE(2026,8,31))-MAX($E172,DATE(2026,8,1))+1))/30.4</f>
        <v>0.0986842105263158</v>
      </c>
      <c r="Y172" s="17" t="n">
        <f aca="false">$H172*MAX(0,(MIN($G172,DATE(2026,9,30))-MAX($E172,DATE(2026,9,1))+1))/30.4</f>
        <v>0</v>
      </c>
      <c r="Z172" s="17" t="n">
        <f aca="false">$H172*MAX(0,(MIN($G172,DATE(2026,10,31))-MAX($E172,DATE(2026,10,1))+1))/30.4</f>
        <v>0</v>
      </c>
      <c r="AA172" s="17" t="n">
        <f aca="false">$H172*MAX(0,(MIN($G172,DATE(2026,11,30))-MAX($E172,DATE(2026,11,1))+1))/30.4</f>
        <v>0</v>
      </c>
      <c r="AB172" s="17" t="n">
        <f aca="false">$H172*MAX(0,(MIN($G172,DATE(2026,12,31))-MAX($E172,DATE(2026,12,1))+1))/30.4</f>
        <v>0</v>
      </c>
    </row>
    <row r="173" customFormat="false" ht="15" hidden="false" customHeight="false" outlineLevel="0" collapsed="false">
      <c r="A173" s="10" t="n">
        <v>122</v>
      </c>
      <c r="B173" s="10" t="n">
        <v>1</v>
      </c>
      <c r="C173" s="10" t="s">
        <v>148</v>
      </c>
      <c r="D173" s="10" t="s">
        <v>56</v>
      </c>
      <c r="E173" s="12" t="n">
        <v>46209</v>
      </c>
      <c r="F173" s="10" t="n">
        <v>4</v>
      </c>
      <c r="G173" s="12" t="n">
        <v>46237</v>
      </c>
      <c r="H173" s="13" t="n">
        <v>0.375</v>
      </c>
      <c r="I173" s="10" t="s">
        <v>113</v>
      </c>
      <c r="J173" s="14" t="str">
        <f aca="false">IFERROR(VLOOKUP(D173,Role_Mapping!$A$5:$D$31,2,FALSE()),"UNMAPPED")</f>
        <v>Manager</v>
      </c>
      <c r="K173" s="14" t="str">
        <f aca="false">IFERROR(VLOOKUP(D173,Role_Mapping!$A$5:$D$31,3,FALSE()),"IN")</f>
        <v>UK</v>
      </c>
      <c r="L173" s="15" t="n">
        <f aca="false">IFERROR(SUMPRODUCT((Rate_Card!$A$5:$A$34=J173)*(Rate_Card!$B$5:$B$34=K173)*Rate_Card!$C$5:$C$34),0)</f>
        <v>2984</v>
      </c>
      <c r="M173" s="10" t="n">
        <f aca="false">F173*5</f>
        <v>20</v>
      </c>
      <c r="N173" s="16" t="n">
        <f aca="false">L173*M173*H173</f>
        <v>22380</v>
      </c>
      <c r="O173" s="10" t="n">
        <f aca="false">(G173-E173)+1</f>
        <v>29</v>
      </c>
      <c r="P173" s="14" t="str">
        <f aca="false">IFERROR(VLOOKUP(D173,Role_Mapping!$A$5:$D$31,4,FALSE()),"UNMAPPED")</f>
        <v>Consulting</v>
      </c>
      <c r="Q173" s="16" t="n">
        <f aca="false">$N173*MAX(0,(MIN($G173,DATE(2026,7,31))-MAX($E173,DATE(2026,7,1))+1))/$O173</f>
        <v>20064.8275862069</v>
      </c>
      <c r="R173" s="16" t="n">
        <f aca="false">$N173*MAX(0,(MIN($G173,DATE(2026,8,31))-MAX($E173,DATE(2026,8,1))+1))/$O173</f>
        <v>2315.1724137931</v>
      </c>
      <c r="S173" s="16" t="n">
        <f aca="false">$N173*MAX(0,(MIN($G173,DATE(2026,9,30))-MAX($E173,DATE(2026,9,1))+1))/$O173</f>
        <v>0</v>
      </c>
      <c r="T173" s="16" t="n">
        <f aca="false">$N173*MAX(0,(MIN($G173,DATE(2026,10,31))-MAX($E173,DATE(2026,10,1))+1))/$O173</f>
        <v>0</v>
      </c>
      <c r="U173" s="16" t="n">
        <f aca="false">$N173*MAX(0,(MIN($G173,DATE(2026,11,30))-MAX($E173,DATE(2026,11,1))+1))/$O173</f>
        <v>0</v>
      </c>
      <c r="V173" s="16" t="n">
        <f aca="false">$N173*MAX(0,(MIN($G173,DATE(2026,12,31))-MAX($E173,DATE(2026,12,1))+1))/$O173</f>
        <v>0</v>
      </c>
      <c r="W173" s="17" t="n">
        <f aca="false">$H173*MAX(0,(MIN($G173,DATE(2026,7,31))-MAX($E173,DATE(2026,7,1))+1))/30.4</f>
        <v>0.320723684210526</v>
      </c>
      <c r="X173" s="17" t="n">
        <f aca="false">$H173*MAX(0,(MIN($G173,DATE(2026,8,31))-MAX($E173,DATE(2026,8,1))+1))/30.4</f>
        <v>0.0370065789473684</v>
      </c>
      <c r="Y173" s="17" t="n">
        <f aca="false">$H173*MAX(0,(MIN($G173,DATE(2026,9,30))-MAX($E173,DATE(2026,9,1))+1))/30.4</f>
        <v>0</v>
      </c>
      <c r="Z173" s="17" t="n">
        <f aca="false">$H173*MAX(0,(MIN($G173,DATE(2026,10,31))-MAX($E173,DATE(2026,10,1))+1))/30.4</f>
        <v>0</v>
      </c>
      <c r="AA173" s="17" t="n">
        <f aca="false">$H173*MAX(0,(MIN($G173,DATE(2026,11,30))-MAX($E173,DATE(2026,11,1))+1))/30.4</f>
        <v>0</v>
      </c>
      <c r="AB173" s="17" t="n">
        <f aca="false">$H173*MAX(0,(MIN($G173,DATE(2026,12,31))-MAX($E173,DATE(2026,12,1))+1))/30.4</f>
        <v>0</v>
      </c>
    </row>
    <row r="174" customFormat="false" ht="15" hidden="false" customHeight="false" outlineLevel="0" collapsed="false">
      <c r="A174" s="10" t="n">
        <v>123</v>
      </c>
      <c r="B174" s="10" t="n">
        <v>1</v>
      </c>
      <c r="C174" s="10"/>
      <c r="D174" s="10" t="s">
        <v>45</v>
      </c>
      <c r="E174" s="12" t="n">
        <v>46209</v>
      </c>
      <c r="F174" s="10" t="n">
        <v>5</v>
      </c>
      <c r="G174" s="12" t="n">
        <v>46244</v>
      </c>
      <c r="H174" s="13" t="n">
        <v>1</v>
      </c>
      <c r="I174" s="10" t="s">
        <v>113</v>
      </c>
      <c r="J174" s="14" t="str">
        <f aca="false">IFERROR(VLOOKUP(D174,Role_Mapping!$A$5:$D$31,2,FALSE()),"UNMAPPED")</f>
        <v>Associate Consultant</v>
      </c>
      <c r="K174" s="14" t="str">
        <f aca="false">IFERROR(VLOOKUP(D174,Role_Mapping!$A$5:$D$31,3,FALSE()),"IN")</f>
        <v>IN</v>
      </c>
      <c r="L174" s="15" t="n">
        <f aca="false">IFERROR(SUMPRODUCT((Rate_Card!$A$5:$A$34=J174)*(Rate_Card!$B$5:$B$34=K174)*Rate_Card!$C$5:$C$34),0)</f>
        <v>585</v>
      </c>
      <c r="M174" s="10" t="n">
        <f aca="false">F174*5</f>
        <v>25</v>
      </c>
      <c r="N174" s="16" t="n">
        <f aca="false">L174*M174*H174</f>
        <v>14625</v>
      </c>
      <c r="O174" s="10" t="n">
        <f aca="false">(G174-E174)+1</f>
        <v>36</v>
      </c>
      <c r="P174" s="14" t="str">
        <f aca="false">IFERROR(VLOOKUP(D174,Role_Mapping!$A$5:$D$31,4,FALSE()),"UNMAPPED")</f>
        <v>Consulting</v>
      </c>
      <c r="Q174" s="16" t="n">
        <f aca="false">$N174*MAX(0,(MIN($G174,DATE(2026,7,31))-MAX($E174,DATE(2026,7,1))+1))/$O174</f>
        <v>10562.5</v>
      </c>
      <c r="R174" s="16" t="n">
        <f aca="false">$N174*MAX(0,(MIN($G174,DATE(2026,8,31))-MAX($E174,DATE(2026,8,1))+1))/$O174</f>
        <v>4062.5</v>
      </c>
      <c r="S174" s="16" t="n">
        <f aca="false">$N174*MAX(0,(MIN($G174,DATE(2026,9,30))-MAX($E174,DATE(2026,9,1))+1))/$O174</f>
        <v>0</v>
      </c>
      <c r="T174" s="16" t="n">
        <f aca="false">$N174*MAX(0,(MIN($G174,DATE(2026,10,31))-MAX($E174,DATE(2026,10,1))+1))/$O174</f>
        <v>0</v>
      </c>
      <c r="U174" s="16" t="n">
        <f aca="false">$N174*MAX(0,(MIN($G174,DATE(2026,11,30))-MAX($E174,DATE(2026,11,1))+1))/$O174</f>
        <v>0</v>
      </c>
      <c r="V174" s="16" t="n">
        <f aca="false">$N174*MAX(0,(MIN($G174,DATE(2026,12,31))-MAX($E174,DATE(2026,12,1))+1))/$O174</f>
        <v>0</v>
      </c>
      <c r="W174" s="17" t="n">
        <f aca="false">$H174*MAX(0,(MIN($G174,DATE(2026,7,31))-MAX($E174,DATE(2026,7,1))+1))/30.4</f>
        <v>0.855263157894737</v>
      </c>
      <c r="X174" s="17" t="n">
        <f aca="false">$H174*MAX(0,(MIN($G174,DATE(2026,8,31))-MAX($E174,DATE(2026,8,1))+1))/30.4</f>
        <v>0.328947368421053</v>
      </c>
      <c r="Y174" s="17" t="n">
        <f aca="false">$H174*MAX(0,(MIN($G174,DATE(2026,9,30))-MAX($E174,DATE(2026,9,1))+1))/30.4</f>
        <v>0</v>
      </c>
      <c r="Z174" s="17" t="n">
        <f aca="false">$H174*MAX(0,(MIN($G174,DATE(2026,10,31))-MAX($E174,DATE(2026,10,1))+1))/30.4</f>
        <v>0</v>
      </c>
      <c r="AA174" s="17" t="n">
        <f aca="false">$H174*MAX(0,(MIN($G174,DATE(2026,11,30))-MAX($E174,DATE(2026,11,1))+1))/30.4</f>
        <v>0</v>
      </c>
      <c r="AB174" s="17" t="n">
        <f aca="false">$H174*MAX(0,(MIN($G174,DATE(2026,12,31))-MAX($E174,DATE(2026,12,1))+1))/30.4</f>
        <v>0</v>
      </c>
    </row>
    <row r="175" customFormat="false" ht="15" hidden="false" customHeight="false" outlineLevel="0" collapsed="false">
      <c r="A175" s="10" t="n">
        <v>124</v>
      </c>
      <c r="B175" s="10" t="n">
        <v>1</v>
      </c>
      <c r="C175" s="10"/>
      <c r="D175" s="10" t="s">
        <v>64</v>
      </c>
      <c r="E175" s="12" t="n">
        <v>46209</v>
      </c>
      <c r="F175" s="10" t="n">
        <v>5</v>
      </c>
      <c r="G175" s="12" t="n">
        <v>46244</v>
      </c>
      <c r="H175" s="13" t="n">
        <v>0.125</v>
      </c>
      <c r="I175" s="10" t="s">
        <v>113</v>
      </c>
      <c r="J175" s="14" t="str">
        <f aca="false">IFERROR(VLOOKUP(D175,Role_Mapping!$A$5:$D$31,2,FALSE()),"UNMAPPED")</f>
        <v>Principal Technology Architect</v>
      </c>
      <c r="K175" s="14" t="str">
        <f aca="false">IFERROR(VLOOKUP(D175,Role_Mapping!$A$5:$D$31,3,FALSE()),"IN")</f>
        <v>IN</v>
      </c>
      <c r="L175" s="15" t="n">
        <f aca="false">IFERROR(SUMPRODUCT((Rate_Card!$A$5:$A$34=J175)*(Rate_Card!$B$5:$B$34=K175)*Rate_Card!$C$5:$C$34),0)</f>
        <v>845</v>
      </c>
      <c r="M175" s="10" t="n">
        <f aca="false">F175*5</f>
        <v>25</v>
      </c>
      <c r="N175" s="16" t="n">
        <f aca="false">L175*M175*H175</f>
        <v>2640.625</v>
      </c>
      <c r="O175" s="10" t="n">
        <f aca="false">(G175-E175)+1</f>
        <v>36</v>
      </c>
      <c r="P175" s="14" t="str">
        <f aca="false">IFERROR(VLOOKUP(D175,Role_Mapping!$A$5:$D$31,4,FALSE()),"UNMAPPED")</f>
        <v>Full Stack</v>
      </c>
      <c r="Q175" s="16" t="n">
        <f aca="false">$N175*MAX(0,(MIN($G175,DATE(2026,7,31))-MAX($E175,DATE(2026,7,1))+1))/$O175</f>
        <v>1907.11805555556</v>
      </c>
      <c r="R175" s="16" t="n">
        <f aca="false">$N175*MAX(0,(MIN($G175,DATE(2026,8,31))-MAX($E175,DATE(2026,8,1))+1))/$O175</f>
        <v>733.506944444445</v>
      </c>
      <c r="S175" s="16" t="n">
        <f aca="false">$N175*MAX(0,(MIN($G175,DATE(2026,9,30))-MAX($E175,DATE(2026,9,1))+1))/$O175</f>
        <v>0</v>
      </c>
      <c r="T175" s="16" t="n">
        <f aca="false">$N175*MAX(0,(MIN($G175,DATE(2026,10,31))-MAX($E175,DATE(2026,10,1))+1))/$O175</f>
        <v>0</v>
      </c>
      <c r="U175" s="16" t="n">
        <f aca="false">$N175*MAX(0,(MIN($G175,DATE(2026,11,30))-MAX($E175,DATE(2026,11,1))+1))/$O175</f>
        <v>0</v>
      </c>
      <c r="V175" s="16" t="n">
        <f aca="false">$N175*MAX(0,(MIN($G175,DATE(2026,12,31))-MAX($E175,DATE(2026,12,1))+1))/$O175</f>
        <v>0</v>
      </c>
      <c r="W175" s="17" t="n">
        <f aca="false">$H175*MAX(0,(MIN($G175,DATE(2026,7,31))-MAX($E175,DATE(2026,7,1))+1))/30.4</f>
        <v>0.106907894736842</v>
      </c>
      <c r="X175" s="17" t="n">
        <f aca="false">$H175*MAX(0,(MIN($G175,DATE(2026,8,31))-MAX($E175,DATE(2026,8,1))+1))/30.4</f>
        <v>0.0411184210526316</v>
      </c>
      <c r="Y175" s="17" t="n">
        <f aca="false">$H175*MAX(0,(MIN($G175,DATE(2026,9,30))-MAX($E175,DATE(2026,9,1))+1))/30.4</f>
        <v>0</v>
      </c>
      <c r="Z175" s="17" t="n">
        <f aca="false">$H175*MAX(0,(MIN($G175,DATE(2026,10,31))-MAX($E175,DATE(2026,10,1))+1))/30.4</f>
        <v>0</v>
      </c>
      <c r="AA175" s="17" t="n">
        <f aca="false">$H175*MAX(0,(MIN($G175,DATE(2026,11,30))-MAX($E175,DATE(2026,11,1))+1))/30.4</f>
        <v>0</v>
      </c>
      <c r="AB175" s="17" t="n">
        <f aca="false">$H175*MAX(0,(MIN($G175,DATE(2026,12,31))-MAX($E175,DATE(2026,12,1))+1))/30.4</f>
        <v>0</v>
      </c>
    </row>
    <row r="176" customFormat="false" ht="15" hidden="false" customHeight="false" outlineLevel="0" collapsed="false">
      <c r="A176" s="10" t="n">
        <v>125</v>
      </c>
      <c r="B176" s="10" t="n">
        <v>1</v>
      </c>
      <c r="C176" s="10"/>
      <c r="D176" s="10" t="s">
        <v>58</v>
      </c>
      <c r="E176" s="12" t="n">
        <v>46209</v>
      </c>
      <c r="F176" s="10" t="n">
        <v>5</v>
      </c>
      <c r="G176" s="12" t="n">
        <v>46244</v>
      </c>
      <c r="H176" s="13" t="n">
        <v>0.5</v>
      </c>
      <c r="I176" s="10" t="s">
        <v>113</v>
      </c>
      <c r="J176" s="14" t="str">
        <f aca="false">IFERROR(VLOOKUP(D176,Role_Mapping!$A$5:$D$31,2,FALSE()),"UNMAPPED")</f>
        <v>Solutions Enabler</v>
      </c>
      <c r="K176" s="14" t="str">
        <f aca="false">IFERROR(VLOOKUP(D176,Role_Mapping!$A$5:$D$31,3,FALSE()),"IN")</f>
        <v>IN</v>
      </c>
      <c r="L176" s="15" t="n">
        <f aca="false">IFERROR(SUMPRODUCT((Rate_Card!$A$5:$A$34=J176)*(Rate_Card!$B$5:$B$34=K176)*Rate_Card!$C$5:$C$34),0)</f>
        <v>683</v>
      </c>
      <c r="M176" s="10" t="n">
        <f aca="false">F176*5</f>
        <v>25</v>
      </c>
      <c r="N176" s="16" t="n">
        <f aca="false">L176*M176*H176</f>
        <v>8537.5</v>
      </c>
      <c r="O176" s="10" t="n">
        <f aca="false">(G176-E176)+1</f>
        <v>36</v>
      </c>
      <c r="P176" s="14" t="str">
        <f aca="false">IFERROR(VLOOKUP(D176,Role_Mapping!$A$5:$D$31,4,FALSE()),"UNMAPPED")</f>
        <v>Data Engineering</v>
      </c>
      <c r="Q176" s="16" t="n">
        <f aca="false">$N176*MAX(0,(MIN($G176,DATE(2026,7,31))-MAX($E176,DATE(2026,7,1))+1))/$O176</f>
        <v>6165.97222222222</v>
      </c>
      <c r="R176" s="16" t="n">
        <f aca="false">$N176*MAX(0,(MIN($G176,DATE(2026,8,31))-MAX($E176,DATE(2026,8,1))+1))/$O176</f>
        <v>2371.52777777778</v>
      </c>
      <c r="S176" s="16" t="n">
        <f aca="false">$N176*MAX(0,(MIN($G176,DATE(2026,9,30))-MAX($E176,DATE(2026,9,1))+1))/$O176</f>
        <v>0</v>
      </c>
      <c r="T176" s="16" t="n">
        <f aca="false">$N176*MAX(0,(MIN($G176,DATE(2026,10,31))-MAX($E176,DATE(2026,10,1))+1))/$O176</f>
        <v>0</v>
      </c>
      <c r="U176" s="16" t="n">
        <f aca="false">$N176*MAX(0,(MIN($G176,DATE(2026,11,30))-MAX($E176,DATE(2026,11,1))+1))/$O176</f>
        <v>0</v>
      </c>
      <c r="V176" s="16" t="n">
        <f aca="false">$N176*MAX(0,(MIN($G176,DATE(2026,12,31))-MAX($E176,DATE(2026,12,1))+1))/$O176</f>
        <v>0</v>
      </c>
      <c r="W176" s="17" t="n">
        <f aca="false">$H176*MAX(0,(MIN($G176,DATE(2026,7,31))-MAX($E176,DATE(2026,7,1))+1))/30.4</f>
        <v>0.427631578947368</v>
      </c>
      <c r="X176" s="17" t="n">
        <f aca="false">$H176*MAX(0,(MIN($G176,DATE(2026,8,31))-MAX($E176,DATE(2026,8,1))+1))/30.4</f>
        <v>0.164473684210526</v>
      </c>
      <c r="Y176" s="17" t="n">
        <f aca="false">$H176*MAX(0,(MIN($G176,DATE(2026,9,30))-MAX($E176,DATE(2026,9,1))+1))/30.4</f>
        <v>0</v>
      </c>
      <c r="Z176" s="17" t="n">
        <f aca="false">$H176*MAX(0,(MIN($G176,DATE(2026,10,31))-MAX($E176,DATE(2026,10,1))+1))/30.4</f>
        <v>0</v>
      </c>
      <c r="AA176" s="17" t="n">
        <f aca="false">$H176*MAX(0,(MIN($G176,DATE(2026,11,30))-MAX($E176,DATE(2026,11,1))+1))/30.4</f>
        <v>0</v>
      </c>
      <c r="AB176" s="17" t="n">
        <f aca="false">$H176*MAX(0,(MIN($G176,DATE(2026,12,31))-MAX($E176,DATE(2026,12,1))+1))/30.4</f>
        <v>0</v>
      </c>
    </row>
    <row r="177" customFormat="false" ht="15" hidden="false" customHeight="false" outlineLevel="0" collapsed="false">
      <c r="A177" s="10" t="n">
        <v>126</v>
      </c>
      <c r="B177" s="10" t="n">
        <v>1</v>
      </c>
      <c r="C177" s="10"/>
      <c r="D177" s="10" t="s">
        <v>75</v>
      </c>
      <c r="E177" s="12" t="n">
        <v>46209</v>
      </c>
      <c r="F177" s="10" t="n">
        <v>5</v>
      </c>
      <c r="G177" s="12" t="n">
        <v>46244</v>
      </c>
      <c r="H177" s="13" t="n">
        <v>1</v>
      </c>
      <c r="I177" s="10" t="s">
        <v>113</v>
      </c>
      <c r="J177" s="14" t="str">
        <f aca="false">IFERROR(VLOOKUP(D177,Role_Mapping!$A$5:$D$31,2,FALSE()),"UNMAPPED")</f>
        <v>Software Engineer</v>
      </c>
      <c r="K177" s="14" t="str">
        <f aca="false">IFERROR(VLOOKUP(D177,Role_Mapping!$A$5:$D$31,3,FALSE()),"IN")</f>
        <v>IN</v>
      </c>
      <c r="L177" s="15" t="n">
        <f aca="false">IFERROR(SUMPRODUCT((Rate_Card!$A$5:$A$34=J177)*(Rate_Card!$B$5:$B$34=K177)*Rate_Card!$C$5:$C$34),0)</f>
        <v>455</v>
      </c>
      <c r="M177" s="10" t="n">
        <f aca="false">F177*5</f>
        <v>25</v>
      </c>
      <c r="N177" s="16" t="n">
        <f aca="false">L177*M177*H177</f>
        <v>11375</v>
      </c>
      <c r="O177" s="10" t="n">
        <f aca="false">(G177-E177)+1</f>
        <v>36</v>
      </c>
      <c r="P177" s="14" t="str">
        <f aca="false">IFERROR(VLOOKUP(D177,Role_Mapping!$A$5:$D$31,4,FALSE()),"UNMAPPED")</f>
        <v>Full Stack</v>
      </c>
      <c r="Q177" s="16" t="n">
        <f aca="false">$N177*MAX(0,(MIN($G177,DATE(2026,7,31))-MAX($E177,DATE(2026,7,1))+1))/$O177</f>
        <v>8215.27777777778</v>
      </c>
      <c r="R177" s="16" t="n">
        <f aca="false">$N177*MAX(0,(MIN($G177,DATE(2026,8,31))-MAX($E177,DATE(2026,8,1))+1))/$O177</f>
        <v>3159.72222222222</v>
      </c>
      <c r="S177" s="16" t="n">
        <f aca="false">$N177*MAX(0,(MIN($G177,DATE(2026,9,30))-MAX($E177,DATE(2026,9,1))+1))/$O177</f>
        <v>0</v>
      </c>
      <c r="T177" s="16" t="n">
        <f aca="false">$N177*MAX(0,(MIN($G177,DATE(2026,10,31))-MAX($E177,DATE(2026,10,1))+1))/$O177</f>
        <v>0</v>
      </c>
      <c r="U177" s="16" t="n">
        <f aca="false">$N177*MAX(0,(MIN($G177,DATE(2026,11,30))-MAX($E177,DATE(2026,11,1))+1))/$O177</f>
        <v>0</v>
      </c>
      <c r="V177" s="16" t="n">
        <f aca="false">$N177*MAX(0,(MIN($G177,DATE(2026,12,31))-MAX($E177,DATE(2026,12,1))+1))/$O177</f>
        <v>0</v>
      </c>
      <c r="W177" s="17" t="n">
        <f aca="false">$H177*MAX(0,(MIN($G177,DATE(2026,7,31))-MAX($E177,DATE(2026,7,1))+1))/30.4</f>
        <v>0.855263157894737</v>
      </c>
      <c r="X177" s="17" t="n">
        <f aca="false">$H177*MAX(0,(MIN($G177,DATE(2026,8,31))-MAX($E177,DATE(2026,8,1))+1))/30.4</f>
        <v>0.328947368421053</v>
      </c>
      <c r="Y177" s="17" t="n">
        <f aca="false">$H177*MAX(0,(MIN($G177,DATE(2026,9,30))-MAX($E177,DATE(2026,9,1))+1))/30.4</f>
        <v>0</v>
      </c>
      <c r="Z177" s="17" t="n">
        <f aca="false">$H177*MAX(0,(MIN($G177,DATE(2026,10,31))-MAX($E177,DATE(2026,10,1))+1))/30.4</f>
        <v>0</v>
      </c>
      <c r="AA177" s="17" t="n">
        <f aca="false">$H177*MAX(0,(MIN($G177,DATE(2026,11,30))-MAX($E177,DATE(2026,11,1))+1))/30.4</f>
        <v>0</v>
      </c>
      <c r="AB177" s="17" t="n">
        <f aca="false">$H177*MAX(0,(MIN($G177,DATE(2026,12,31))-MAX($E177,DATE(2026,12,1))+1))/30.4</f>
        <v>0</v>
      </c>
    </row>
    <row r="178" customFormat="false" ht="15" hidden="false" customHeight="false" outlineLevel="0" collapsed="false">
      <c r="A178" s="10" t="n">
        <v>127</v>
      </c>
      <c r="B178" s="10" t="n">
        <v>2</v>
      </c>
      <c r="C178" s="10" t="s">
        <v>149</v>
      </c>
      <c r="D178" s="10" t="s">
        <v>72</v>
      </c>
      <c r="E178" s="12" t="n">
        <v>46202</v>
      </c>
      <c r="F178" s="10" t="n">
        <v>5</v>
      </c>
      <c r="G178" s="12" t="n">
        <v>46237</v>
      </c>
      <c r="H178" s="13" t="n">
        <v>0.5</v>
      </c>
      <c r="I178" s="10" t="s">
        <v>126</v>
      </c>
      <c r="J178" s="14" t="str">
        <f aca="false">IFERROR(VLOOKUP(D178,Role_Mapping!$A$5:$D$31,2,FALSE()),"UNMAPPED")</f>
        <v>Senior Consultant</v>
      </c>
      <c r="K178" s="14" t="str">
        <f aca="false">IFERROR(VLOOKUP(D178,Role_Mapping!$A$5:$D$31,3,FALSE()),"IN")</f>
        <v>UK</v>
      </c>
      <c r="L178" s="15" t="n">
        <f aca="false">IFERROR(SUMPRODUCT((Rate_Card!$A$5:$A$34=J178)*(Rate_Card!$B$5:$B$34=K178)*Rate_Card!$C$5:$C$34),0)</f>
        <v>2798</v>
      </c>
      <c r="M178" s="10" t="n">
        <f aca="false">F178*5</f>
        <v>25</v>
      </c>
      <c r="N178" s="16" t="n">
        <f aca="false">L178*M178*H178</f>
        <v>34975</v>
      </c>
      <c r="O178" s="10" t="n">
        <f aca="false">(G178-E178)+1</f>
        <v>36</v>
      </c>
      <c r="P178" s="14" t="str">
        <f aca="false">IFERROR(VLOOKUP(D178,Role_Mapping!$A$5:$D$31,4,FALSE()),"UNMAPPED")</f>
        <v>Consulting</v>
      </c>
      <c r="Q178" s="16" t="n">
        <f aca="false">$N178*MAX(0,(MIN($G178,DATE(2026,7,31))-MAX($E178,DATE(2026,7,1))+1))/$O178</f>
        <v>30117.3611111111</v>
      </c>
      <c r="R178" s="16" t="n">
        <f aca="false">$N178*MAX(0,(MIN($G178,DATE(2026,8,31))-MAX($E178,DATE(2026,8,1))+1))/$O178</f>
        <v>2914.58333333333</v>
      </c>
      <c r="S178" s="16" t="n">
        <f aca="false">$N178*MAX(0,(MIN($G178,DATE(2026,9,30))-MAX($E178,DATE(2026,9,1))+1))/$O178</f>
        <v>0</v>
      </c>
      <c r="T178" s="16" t="n">
        <f aca="false">$N178*MAX(0,(MIN($G178,DATE(2026,10,31))-MAX($E178,DATE(2026,10,1))+1))/$O178</f>
        <v>0</v>
      </c>
      <c r="U178" s="16" t="n">
        <f aca="false">$N178*MAX(0,(MIN($G178,DATE(2026,11,30))-MAX($E178,DATE(2026,11,1))+1))/$O178</f>
        <v>0</v>
      </c>
      <c r="V178" s="16" t="n">
        <f aca="false">$N178*MAX(0,(MIN($G178,DATE(2026,12,31))-MAX($E178,DATE(2026,12,1))+1))/$O178</f>
        <v>0</v>
      </c>
      <c r="W178" s="17" t="n">
        <f aca="false">$H178*MAX(0,(MIN($G178,DATE(2026,7,31))-MAX($E178,DATE(2026,7,1))+1))/30.4</f>
        <v>0.509868421052632</v>
      </c>
      <c r="X178" s="17" t="n">
        <f aca="false">$H178*MAX(0,(MIN($G178,DATE(2026,8,31))-MAX($E178,DATE(2026,8,1))+1))/30.4</f>
        <v>0.0493421052631579</v>
      </c>
      <c r="Y178" s="17" t="n">
        <f aca="false">$H178*MAX(0,(MIN($G178,DATE(2026,9,30))-MAX($E178,DATE(2026,9,1))+1))/30.4</f>
        <v>0</v>
      </c>
      <c r="Z178" s="17" t="n">
        <f aca="false">$H178*MAX(0,(MIN($G178,DATE(2026,10,31))-MAX($E178,DATE(2026,10,1))+1))/30.4</f>
        <v>0</v>
      </c>
      <c r="AA178" s="17" t="n">
        <f aca="false">$H178*MAX(0,(MIN($G178,DATE(2026,11,30))-MAX($E178,DATE(2026,11,1))+1))/30.4</f>
        <v>0</v>
      </c>
      <c r="AB178" s="17" t="n">
        <f aca="false">$H178*MAX(0,(MIN($G178,DATE(2026,12,31))-MAX($E178,DATE(2026,12,1))+1))/30.4</f>
        <v>0</v>
      </c>
    </row>
    <row r="179" customFormat="false" ht="15" hidden="false" customHeight="false" outlineLevel="0" collapsed="false">
      <c r="A179" s="10" t="n">
        <v>128</v>
      </c>
      <c r="B179" s="10" t="n">
        <v>2</v>
      </c>
      <c r="C179" s="10"/>
      <c r="D179" s="10" t="s">
        <v>67</v>
      </c>
      <c r="E179" s="12" t="n">
        <v>46202</v>
      </c>
      <c r="F179" s="10" t="n">
        <v>5</v>
      </c>
      <c r="G179" s="12" t="n">
        <v>46237</v>
      </c>
      <c r="H179" s="13" t="n">
        <v>1</v>
      </c>
      <c r="I179" s="10" t="s">
        <v>126</v>
      </c>
      <c r="J179" s="14" t="str">
        <f aca="false">IFERROR(VLOOKUP(D179,Role_Mapping!$A$5:$D$31,2,FALSE()),"UNMAPPED")</f>
        <v>Senior Associate Consultant</v>
      </c>
      <c r="K179" s="14" t="str">
        <f aca="false">IFERROR(VLOOKUP(D179,Role_Mapping!$A$5:$D$31,3,FALSE()),"IN")</f>
        <v>IN</v>
      </c>
      <c r="L179" s="15" t="n">
        <f aca="false">IFERROR(SUMPRODUCT((Rate_Card!$A$5:$A$34=J179)*(Rate_Card!$B$5:$B$34=K179)*Rate_Card!$C$5:$C$34),0)</f>
        <v>683</v>
      </c>
      <c r="M179" s="10" t="n">
        <f aca="false">F179*5</f>
        <v>25</v>
      </c>
      <c r="N179" s="16" t="n">
        <f aca="false">L179*M179*H179</f>
        <v>17075</v>
      </c>
      <c r="O179" s="10" t="n">
        <f aca="false">(G179-E179)+1</f>
        <v>36</v>
      </c>
      <c r="P179" s="14" t="str">
        <f aca="false">IFERROR(VLOOKUP(D179,Role_Mapping!$A$5:$D$31,4,FALSE()),"UNMAPPED")</f>
        <v>Consulting</v>
      </c>
      <c r="Q179" s="16" t="n">
        <f aca="false">$N179*MAX(0,(MIN($G179,DATE(2026,7,31))-MAX($E179,DATE(2026,7,1))+1))/$O179</f>
        <v>14703.4722222222</v>
      </c>
      <c r="R179" s="16" t="n">
        <f aca="false">$N179*MAX(0,(MIN($G179,DATE(2026,8,31))-MAX($E179,DATE(2026,8,1))+1))/$O179</f>
        <v>1422.91666666667</v>
      </c>
      <c r="S179" s="16" t="n">
        <f aca="false">$N179*MAX(0,(MIN($G179,DATE(2026,9,30))-MAX($E179,DATE(2026,9,1))+1))/$O179</f>
        <v>0</v>
      </c>
      <c r="T179" s="16" t="n">
        <f aca="false">$N179*MAX(0,(MIN($G179,DATE(2026,10,31))-MAX($E179,DATE(2026,10,1))+1))/$O179</f>
        <v>0</v>
      </c>
      <c r="U179" s="16" t="n">
        <f aca="false">$N179*MAX(0,(MIN($G179,DATE(2026,11,30))-MAX($E179,DATE(2026,11,1))+1))/$O179</f>
        <v>0</v>
      </c>
      <c r="V179" s="16" t="n">
        <f aca="false">$N179*MAX(0,(MIN($G179,DATE(2026,12,31))-MAX($E179,DATE(2026,12,1))+1))/$O179</f>
        <v>0</v>
      </c>
      <c r="W179" s="17" t="n">
        <f aca="false">$H179*MAX(0,(MIN($G179,DATE(2026,7,31))-MAX($E179,DATE(2026,7,1))+1))/30.4</f>
        <v>1.01973684210526</v>
      </c>
      <c r="X179" s="17" t="n">
        <f aca="false">$H179*MAX(0,(MIN($G179,DATE(2026,8,31))-MAX($E179,DATE(2026,8,1))+1))/30.4</f>
        <v>0.0986842105263158</v>
      </c>
      <c r="Y179" s="17" t="n">
        <f aca="false">$H179*MAX(0,(MIN($G179,DATE(2026,9,30))-MAX($E179,DATE(2026,9,1))+1))/30.4</f>
        <v>0</v>
      </c>
      <c r="Z179" s="17" t="n">
        <f aca="false">$H179*MAX(0,(MIN($G179,DATE(2026,10,31))-MAX($E179,DATE(2026,10,1))+1))/30.4</f>
        <v>0</v>
      </c>
      <c r="AA179" s="17" t="n">
        <f aca="false">$H179*MAX(0,(MIN($G179,DATE(2026,11,30))-MAX($E179,DATE(2026,11,1))+1))/30.4</f>
        <v>0</v>
      </c>
      <c r="AB179" s="17" t="n">
        <f aca="false">$H179*MAX(0,(MIN($G179,DATE(2026,12,31))-MAX($E179,DATE(2026,12,1))+1))/30.4</f>
        <v>0</v>
      </c>
    </row>
    <row r="180" customFormat="false" ht="15" hidden="false" customHeight="false" outlineLevel="0" collapsed="false">
      <c r="A180" s="10" t="n">
        <v>129</v>
      </c>
      <c r="B180" s="10" t="n">
        <v>2</v>
      </c>
      <c r="C180" s="10"/>
      <c r="D180" s="10" t="s">
        <v>76</v>
      </c>
      <c r="E180" s="12" t="n">
        <v>46202</v>
      </c>
      <c r="F180" s="10" t="n">
        <v>5</v>
      </c>
      <c r="G180" s="12" t="n">
        <v>46237</v>
      </c>
      <c r="H180" s="13" t="n">
        <v>1</v>
      </c>
      <c r="I180" s="10" t="s">
        <v>113</v>
      </c>
      <c r="J180" s="14" t="str">
        <f aca="false">IFERROR(VLOOKUP(D180,Role_Mapping!$A$5:$D$31,2,FALSE()),"UNMAPPED")</f>
        <v>Senior Software Engineer</v>
      </c>
      <c r="K180" s="14" t="str">
        <f aca="false">IFERROR(VLOOKUP(D180,Role_Mapping!$A$5:$D$31,3,FALSE()),"IN")</f>
        <v>IN</v>
      </c>
      <c r="L180" s="15" t="n">
        <f aca="false">IFERROR(SUMPRODUCT((Rate_Card!$A$5:$A$34=J180)*(Rate_Card!$B$5:$B$34=K180)*Rate_Card!$C$5:$C$34),0)</f>
        <v>585</v>
      </c>
      <c r="M180" s="10" t="n">
        <f aca="false">F180*5</f>
        <v>25</v>
      </c>
      <c r="N180" s="16" t="n">
        <f aca="false">L180*M180*H180</f>
        <v>14625</v>
      </c>
      <c r="O180" s="10" t="n">
        <f aca="false">(G180-E180)+1</f>
        <v>36</v>
      </c>
      <c r="P180" s="14" t="str">
        <f aca="false">IFERROR(VLOOKUP(D180,Role_Mapping!$A$5:$D$31,4,FALSE()),"UNMAPPED")</f>
        <v>Full Stack</v>
      </c>
      <c r="Q180" s="16" t="n">
        <f aca="false">$N180*MAX(0,(MIN($G180,DATE(2026,7,31))-MAX($E180,DATE(2026,7,1))+1))/$O180</f>
        <v>12593.75</v>
      </c>
      <c r="R180" s="16" t="n">
        <f aca="false">$N180*MAX(0,(MIN($G180,DATE(2026,8,31))-MAX($E180,DATE(2026,8,1))+1))/$O180</f>
        <v>1218.75</v>
      </c>
      <c r="S180" s="16" t="n">
        <f aca="false">$N180*MAX(0,(MIN($G180,DATE(2026,9,30))-MAX($E180,DATE(2026,9,1))+1))/$O180</f>
        <v>0</v>
      </c>
      <c r="T180" s="16" t="n">
        <f aca="false">$N180*MAX(0,(MIN($G180,DATE(2026,10,31))-MAX($E180,DATE(2026,10,1))+1))/$O180</f>
        <v>0</v>
      </c>
      <c r="U180" s="16" t="n">
        <f aca="false">$N180*MAX(0,(MIN($G180,DATE(2026,11,30))-MAX($E180,DATE(2026,11,1))+1))/$O180</f>
        <v>0</v>
      </c>
      <c r="V180" s="16" t="n">
        <f aca="false">$N180*MAX(0,(MIN($G180,DATE(2026,12,31))-MAX($E180,DATE(2026,12,1))+1))/$O180</f>
        <v>0</v>
      </c>
      <c r="W180" s="17" t="n">
        <f aca="false">$H180*MAX(0,(MIN($G180,DATE(2026,7,31))-MAX($E180,DATE(2026,7,1))+1))/30.4</f>
        <v>1.01973684210526</v>
      </c>
      <c r="X180" s="17" t="n">
        <f aca="false">$H180*MAX(0,(MIN($G180,DATE(2026,8,31))-MAX($E180,DATE(2026,8,1))+1))/30.4</f>
        <v>0.0986842105263158</v>
      </c>
      <c r="Y180" s="17" t="n">
        <f aca="false">$H180*MAX(0,(MIN($G180,DATE(2026,9,30))-MAX($E180,DATE(2026,9,1))+1))/30.4</f>
        <v>0</v>
      </c>
      <c r="Z180" s="17" t="n">
        <f aca="false">$H180*MAX(0,(MIN($G180,DATE(2026,10,31))-MAX($E180,DATE(2026,10,1))+1))/30.4</f>
        <v>0</v>
      </c>
      <c r="AA180" s="17" t="n">
        <f aca="false">$H180*MAX(0,(MIN($G180,DATE(2026,11,30))-MAX($E180,DATE(2026,11,1))+1))/30.4</f>
        <v>0</v>
      </c>
      <c r="AB180" s="17" t="n">
        <f aca="false">$H180*MAX(0,(MIN($G180,DATE(2026,12,31))-MAX($E180,DATE(2026,12,1))+1))/30.4</f>
        <v>0</v>
      </c>
    </row>
    <row r="181" customFormat="false" ht="15" hidden="false" customHeight="false" outlineLevel="0" collapsed="false">
      <c r="A181" s="10" t="n">
        <v>130</v>
      </c>
      <c r="B181" s="10" t="n">
        <v>2</v>
      </c>
      <c r="C181" s="10"/>
      <c r="D181" s="10" t="s">
        <v>75</v>
      </c>
      <c r="E181" s="12" t="n">
        <v>46202</v>
      </c>
      <c r="F181" s="10" t="n">
        <v>5</v>
      </c>
      <c r="G181" s="12" t="n">
        <v>46237</v>
      </c>
      <c r="H181" s="13" t="n">
        <v>1</v>
      </c>
      <c r="I181" s="10" t="s">
        <v>113</v>
      </c>
      <c r="J181" s="14" t="str">
        <f aca="false">IFERROR(VLOOKUP(D181,Role_Mapping!$A$5:$D$31,2,FALSE()),"UNMAPPED")</f>
        <v>Software Engineer</v>
      </c>
      <c r="K181" s="14" t="str">
        <f aca="false">IFERROR(VLOOKUP(D181,Role_Mapping!$A$5:$D$31,3,FALSE()),"IN")</f>
        <v>IN</v>
      </c>
      <c r="L181" s="15" t="n">
        <f aca="false">IFERROR(SUMPRODUCT((Rate_Card!$A$5:$A$34=J181)*(Rate_Card!$B$5:$B$34=K181)*Rate_Card!$C$5:$C$34),0)</f>
        <v>455</v>
      </c>
      <c r="M181" s="10" t="n">
        <f aca="false">F181*5</f>
        <v>25</v>
      </c>
      <c r="N181" s="16" t="n">
        <f aca="false">L181*M181*H181</f>
        <v>11375</v>
      </c>
      <c r="O181" s="10" t="n">
        <f aca="false">(G181-E181)+1</f>
        <v>36</v>
      </c>
      <c r="P181" s="14" t="str">
        <f aca="false">IFERROR(VLOOKUP(D181,Role_Mapping!$A$5:$D$31,4,FALSE()),"UNMAPPED")</f>
        <v>Full Stack</v>
      </c>
      <c r="Q181" s="16" t="n">
        <f aca="false">$N181*MAX(0,(MIN($G181,DATE(2026,7,31))-MAX($E181,DATE(2026,7,1))+1))/$O181</f>
        <v>9795.13888888889</v>
      </c>
      <c r="R181" s="16" t="n">
        <f aca="false">$N181*MAX(0,(MIN($G181,DATE(2026,8,31))-MAX($E181,DATE(2026,8,1))+1))/$O181</f>
        <v>947.916666666667</v>
      </c>
      <c r="S181" s="16" t="n">
        <f aca="false">$N181*MAX(0,(MIN($G181,DATE(2026,9,30))-MAX($E181,DATE(2026,9,1))+1))/$O181</f>
        <v>0</v>
      </c>
      <c r="T181" s="16" t="n">
        <f aca="false">$N181*MAX(0,(MIN($G181,DATE(2026,10,31))-MAX($E181,DATE(2026,10,1))+1))/$O181</f>
        <v>0</v>
      </c>
      <c r="U181" s="16" t="n">
        <f aca="false">$N181*MAX(0,(MIN($G181,DATE(2026,11,30))-MAX($E181,DATE(2026,11,1))+1))/$O181</f>
        <v>0</v>
      </c>
      <c r="V181" s="16" t="n">
        <f aca="false">$N181*MAX(0,(MIN($G181,DATE(2026,12,31))-MAX($E181,DATE(2026,12,1))+1))/$O181</f>
        <v>0</v>
      </c>
      <c r="W181" s="17" t="n">
        <f aca="false">$H181*MAX(0,(MIN($G181,DATE(2026,7,31))-MAX($E181,DATE(2026,7,1))+1))/30.4</f>
        <v>1.01973684210526</v>
      </c>
      <c r="X181" s="17" t="n">
        <f aca="false">$H181*MAX(0,(MIN($G181,DATE(2026,8,31))-MAX($E181,DATE(2026,8,1))+1))/30.4</f>
        <v>0.0986842105263158</v>
      </c>
      <c r="Y181" s="17" t="n">
        <f aca="false">$H181*MAX(0,(MIN($G181,DATE(2026,9,30))-MAX($E181,DATE(2026,9,1))+1))/30.4</f>
        <v>0</v>
      </c>
      <c r="Z181" s="17" t="n">
        <f aca="false">$H181*MAX(0,(MIN($G181,DATE(2026,10,31))-MAX($E181,DATE(2026,10,1))+1))/30.4</f>
        <v>0</v>
      </c>
      <c r="AA181" s="17" t="n">
        <f aca="false">$H181*MAX(0,(MIN($G181,DATE(2026,11,30))-MAX($E181,DATE(2026,11,1))+1))/30.4</f>
        <v>0</v>
      </c>
      <c r="AB181" s="17" t="n">
        <f aca="false">$H181*MAX(0,(MIN($G181,DATE(2026,12,31))-MAX($E181,DATE(2026,12,1))+1))/30.4</f>
        <v>0</v>
      </c>
    </row>
    <row r="182" customFormat="false" ht="15" hidden="false" customHeight="false" outlineLevel="0" collapsed="false">
      <c r="A182" s="10" t="n">
        <v>131</v>
      </c>
      <c r="B182" s="10" t="n">
        <v>2</v>
      </c>
      <c r="C182" s="10" t="s">
        <v>150</v>
      </c>
      <c r="D182" s="10" t="s">
        <v>76</v>
      </c>
      <c r="E182" s="12" t="n">
        <v>46195</v>
      </c>
      <c r="F182" s="10" t="n">
        <v>5</v>
      </c>
      <c r="G182" s="12" t="n">
        <v>46230</v>
      </c>
      <c r="H182" s="13" t="n">
        <v>1</v>
      </c>
      <c r="I182" s="10" t="s">
        <v>113</v>
      </c>
      <c r="J182" s="14" t="str">
        <f aca="false">IFERROR(VLOOKUP(D182,Role_Mapping!$A$5:$D$31,2,FALSE()),"UNMAPPED")</f>
        <v>Senior Software Engineer</v>
      </c>
      <c r="K182" s="14" t="str">
        <f aca="false">IFERROR(VLOOKUP(D182,Role_Mapping!$A$5:$D$31,3,FALSE()),"IN")</f>
        <v>IN</v>
      </c>
      <c r="L182" s="15" t="n">
        <f aca="false">IFERROR(SUMPRODUCT((Rate_Card!$A$5:$A$34=J182)*(Rate_Card!$B$5:$B$34=K182)*Rate_Card!$C$5:$C$34),0)</f>
        <v>585</v>
      </c>
      <c r="M182" s="10" t="n">
        <f aca="false">F182*5</f>
        <v>25</v>
      </c>
      <c r="N182" s="16" t="n">
        <f aca="false">L182*M182*H182</f>
        <v>14625</v>
      </c>
      <c r="O182" s="10" t="n">
        <f aca="false">(G182-E182)+1</f>
        <v>36</v>
      </c>
      <c r="P182" s="14" t="str">
        <f aca="false">IFERROR(VLOOKUP(D182,Role_Mapping!$A$5:$D$31,4,FALSE()),"UNMAPPED")</f>
        <v>Full Stack</v>
      </c>
      <c r="Q182" s="16" t="n">
        <f aca="false">$N182*MAX(0,(MIN($G182,DATE(2026,7,31))-MAX($E182,DATE(2026,7,1))+1))/$O182</f>
        <v>10968.75</v>
      </c>
      <c r="R182" s="16" t="n">
        <f aca="false">$N182*MAX(0,(MIN($G182,DATE(2026,8,31))-MAX($E182,DATE(2026,8,1))+1))/$O182</f>
        <v>0</v>
      </c>
      <c r="S182" s="16" t="n">
        <f aca="false">$N182*MAX(0,(MIN($G182,DATE(2026,9,30))-MAX($E182,DATE(2026,9,1))+1))/$O182</f>
        <v>0</v>
      </c>
      <c r="T182" s="16" t="n">
        <f aca="false">$N182*MAX(0,(MIN($G182,DATE(2026,10,31))-MAX($E182,DATE(2026,10,1))+1))/$O182</f>
        <v>0</v>
      </c>
      <c r="U182" s="16" t="n">
        <f aca="false">$N182*MAX(0,(MIN($G182,DATE(2026,11,30))-MAX($E182,DATE(2026,11,1))+1))/$O182</f>
        <v>0</v>
      </c>
      <c r="V182" s="16" t="n">
        <f aca="false">$N182*MAX(0,(MIN($G182,DATE(2026,12,31))-MAX($E182,DATE(2026,12,1))+1))/$O182</f>
        <v>0</v>
      </c>
      <c r="W182" s="17" t="n">
        <f aca="false">$H182*MAX(0,(MIN($G182,DATE(2026,7,31))-MAX($E182,DATE(2026,7,1))+1))/30.4</f>
        <v>0.888157894736842</v>
      </c>
      <c r="X182" s="17" t="n">
        <f aca="false">$H182*MAX(0,(MIN($G182,DATE(2026,8,31))-MAX($E182,DATE(2026,8,1))+1))/30.4</f>
        <v>0</v>
      </c>
      <c r="Y182" s="17" t="n">
        <f aca="false">$H182*MAX(0,(MIN($G182,DATE(2026,9,30))-MAX($E182,DATE(2026,9,1))+1))/30.4</f>
        <v>0</v>
      </c>
      <c r="Z182" s="17" t="n">
        <f aca="false">$H182*MAX(0,(MIN($G182,DATE(2026,10,31))-MAX($E182,DATE(2026,10,1))+1))/30.4</f>
        <v>0</v>
      </c>
      <c r="AA182" s="17" t="n">
        <f aca="false">$H182*MAX(0,(MIN($G182,DATE(2026,11,30))-MAX($E182,DATE(2026,11,1))+1))/30.4</f>
        <v>0</v>
      </c>
      <c r="AB182" s="17" t="n">
        <f aca="false">$H182*MAX(0,(MIN($G182,DATE(2026,12,31))-MAX($E182,DATE(2026,12,1))+1))/30.4</f>
        <v>0</v>
      </c>
    </row>
    <row r="183" customFormat="false" ht="15" hidden="false" customHeight="false" outlineLevel="0" collapsed="false">
      <c r="A183" s="10" t="n">
        <v>132</v>
      </c>
      <c r="B183" s="10" t="n">
        <v>1</v>
      </c>
      <c r="C183" s="10" t="s">
        <v>151</v>
      </c>
      <c r="D183" s="10" t="s">
        <v>49</v>
      </c>
      <c r="E183" s="12" t="n">
        <v>46209</v>
      </c>
      <c r="F183" s="10" t="n">
        <v>6</v>
      </c>
      <c r="G183" s="12" t="n">
        <v>46251</v>
      </c>
      <c r="H183" s="13" t="n">
        <v>0.125</v>
      </c>
      <c r="I183" s="10" t="s">
        <v>113</v>
      </c>
      <c r="J183" s="14" t="str">
        <f aca="false">IFERROR(VLOOKUP(D183,Role_Mapping!$A$5:$D$31,2,FALSE()),"UNMAPPED")</f>
        <v>Associate Partner</v>
      </c>
      <c r="K183" s="14" t="str">
        <f aca="false">IFERROR(VLOOKUP(D183,Role_Mapping!$A$5:$D$31,3,FALSE()),"IN")</f>
        <v>UK</v>
      </c>
      <c r="L183" s="15" t="n">
        <f aca="false">IFERROR(SUMPRODUCT((Rate_Card!$A$5:$A$34=J183)*(Rate_Card!$B$5:$B$34=K183)*Rate_Card!$C$5:$C$34),0)</f>
        <v>3526</v>
      </c>
      <c r="M183" s="10" t="n">
        <f aca="false">F183*5</f>
        <v>30</v>
      </c>
      <c r="N183" s="16" t="n">
        <f aca="false">L183*M183*H183</f>
        <v>13222.5</v>
      </c>
      <c r="O183" s="10" t="n">
        <f aca="false">(G183-E183)+1</f>
        <v>43</v>
      </c>
      <c r="P183" s="14" t="str">
        <f aca="false">IFERROR(VLOOKUP(D183,Role_Mapping!$A$5:$D$31,4,FALSE()),"UNMAPPED")</f>
        <v>GTM</v>
      </c>
      <c r="Q183" s="16" t="n">
        <f aca="false">$N183*MAX(0,(MIN($G183,DATE(2026,7,31))-MAX($E183,DATE(2026,7,1))+1))/$O183</f>
        <v>7995</v>
      </c>
      <c r="R183" s="16" t="n">
        <f aca="false">$N183*MAX(0,(MIN($G183,DATE(2026,8,31))-MAX($E183,DATE(2026,8,1))+1))/$O183</f>
        <v>5227.5</v>
      </c>
      <c r="S183" s="16" t="n">
        <f aca="false">$N183*MAX(0,(MIN($G183,DATE(2026,9,30))-MAX($E183,DATE(2026,9,1))+1))/$O183</f>
        <v>0</v>
      </c>
      <c r="T183" s="16" t="n">
        <f aca="false">$N183*MAX(0,(MIN($G183,DATE(2026,10,31))-MAX($E183,DATE(2026,10,1))+1))/$O183</f>
        <v>0</v>
      </c>
      <c r="U183" s="16" t="n">
        <f aca="false">$N183*MAX(0,(MIN($G183,DATE(2026,11,30))-MAX($E183,DATE(2026,11,1))+1))/$O183</f>
        <v>0</v>
      </c>
      <c r="V183" s="16" t="n">
        <f aca="false">$N183*MAX(0,(MIN($G183,DATE(2026,12,31))-MAX($E183,DATE(2026,12,1))+1))/$O183</f>
        <v>0</v>
      </c>
      <c r="W183" s="17" t="n">
        <f aca="false">$H183*MAX(0,(MIN($G183,DATE(2026,7,31))-MAX($E183,DATE(2026,7,1))+1))/30.4</f>
        <v>0.106907894736842</v>
      </c>
      <c r="X183" s="17" t="n">
        <f aca="false">$H183*MAX(0,(MIN($G183,DATE(2026,8,31))-MAX($E183,DATE(2026,8,1))+1))/30.4</f>
        <v>0.0699013157894737</v>
      </c>
      <c r="Y183" s="17" t="n">
        <f aca="false">$H183*MAX(0,(MIN($G183,DATE(2026,9,30))-MAX($E183,DATE(2026,9,1))+1))/30.4</f>
        <v>0</v>
      </c>
      <c r="Z183" s="17" t="n">
        <f aca="false">$H183*MAX(0,(MIN($G183,DATE(2026,10,31))-MAX($E183,DATE(2026,10,1))+1))/30.4</f>
        <v>0</v>
      </c>
      <c r="AA183" s="17" t="n">
        <f aca="false">$H183*MAX(0,(MIN($G183,DATE(2026,11,30))-MAX($E183,DATE(2026,11,1))+1))/30.4</f>
        <v>0</v>
      </c>
      <c r="AB183" s="17" t="n">
        <f aca="false">$H183*MAX(0,(MIN($G183,DATE(2026,12,31))-MAX($E183,DATE(2026,12,1))+1))/30.4</f>
        <v>0</v>
      </c>
    </row>
    <row r="184" customFormat="false" ht="15" hidden="false" customHeight="false" outlineLevel="0" collapsed="false">
      <c r="A184" s="10" t="n">
        <v>133</v>
      </c>
      <c r="B184" s="10" t="n">
        <v>1</v>
      </c>
      <c r="C184" s="10"/>
      <c r="D184" s="10" t="s">
        <v>72</v>
      </c>
      <c r="E184" s="12" t="n">
        <v>46209</v>
      </c>
      <c r="F184" s="10" t="n">
        <v>5</v>
      </c>
      <c r="G184" s="12" t="n">
        <v>46244</v>
      </c>
      <c r="H184" s="13" t="n">
        <v>0.5</v>
      </c>
      <c r="I184" s="10" t="s">
        <v>113</v>
      </c>
      <c r="J184" s="14" t="str">
        <f aca="false">IFERROR(VLOOKUP(D184,Role_Mapping!$A$5:$D$31,2,FALSE()),"UNMAPPED")</f>
        <v>Senior Consultant</v>
      </c>
      <c r="K184" s="14" t="str">
        <f aca="false">IFERROR(VLOOKUP(D184,Role_Mapping!$A$5:$D$31,3,FALSE()),"IN")</f>
        <v>UK</v>
      </c>
      <c r="L184" s="15" t="n">
        <f aca="false">IFERROR(SUMPRODUCT((Rate_Card!$A$5:$A$34=J184)*(Rate_Card!$B$5:$B$34=K184)*Rate_Card!$C$5:$C$34),0)</f>
        <v>2798</v>
      </c>
      <c r="M184" s="10" t="n">
        <f aca="false">F184*5</f>
        <v>25</v>
      </c>
      <c r="N184" s="16" t="n">
        <f aca="false">L184*M184*H184</f>
        <v>34975</v>
      </c>
      <c r="O184" s="10" t="n">
        <f aca="false">(G184-E184)+1</f>
        <v>36</v>
      </c>
      <c r="P184" s="14" t="str">
        <f aca="false">IFERROR(VLOOKUP(D184,Role_Mapping!$A$5:$D$31,4,FALSE()),"UNMAPPED")</f>
        <v>Consulting</v>
      </c>
      <c r="Q184" s="16" t="n">
        <f aca="false">$N184*MAX(0,(MIN($G184,DATE(2026,7,31))-MAX($E184,DATE(2026,7,1))+1))/$O184</f>
        <v>25259.7222222222</v>
      </c>
      <c r="R184" s="16" t="n">
        <f aca="false">$N184*MAX(0,(MIN($G184,DATE(2026,8,31))-MAX($E184,DATE(2026,8,1))+1))/$O184</f>
        <v>9715.27777777778</v>
      </c>
      <c r="S184" s="16" t="n">
        <f aca="false">$N184*MAX(0,(MIN($G184,DATE(2026,9,30))-MAX($E184,DATE(2026,9,1))+1))/$O184</f>
        <v>0</v>
      </c>
      <c r="T184" s="16" t="n">
        <f aca="false">$N184*MAX(0,(MIN($G184,DATE(2026,10,31))-MAX($E184,DATE(2026,10,1))+1))/$O184</f>
        <v>0</v>
      </c>
      <c r="U184" s="16" t="n">
        <f aca="false">$N184*MAX(0,(MIN($G184,DATE(2026,11,30))-MAX($E184,DATE(2026,11,1))+1))/$O184</f>
        <v>0</v>
      </c>
      <c r="V184" s="16" t="n">
        <f aca="false">$N184*MAX(0,(MIN($G184,DATE(2026,12,31))-MAX($E184,DATE(2026,12,1))+1))/$O184</f>
        <v>0</v>
      </c>
      <c r="W184" s="17" t="n">
        <f aca="false">$H184*MAX(0,(MIN($G184,DATE(2026,7,31))-MAX($E184,DATE(2026,7,1))+1))/30.4</f>
        <v>0.427631578947368</v>
      </c>
      <c r="X184" s="17" t="n">
        <f aca="false">$H184*MAX(0,(MIN($G184,DATE(2026,8,31))-MAX($E184,DATE(2026,8,1))+1))/30.4</f>
        <v>0.164473684210526</v>
      </c>
      <c r="Y184" s="17" t="n">
        <f aca="false">$H184*MAX(0,(MIN($G184,DATE(2026,9,30))-MAX($E184,DATE(2026,9,1))+1))/30.4</f>
        <v>0</v>
      </c>
      <c r="Z184" s="17" t="n">
        <f aca="false">$H184*MAX(0,(MIN($G184,DATE(2026,10,31))-MAX($E184,DATE(2026,10,1))+1))/30.4</f>
        <v>0</v>
      </c>
      <c r="AA184" s="17" t="n">
        <f aca="false">$H184*MAX(0,(MIN($G184,DATE(2026,11,30))-MAX($E184,DATE(2026,11,1))+1))/30.4</f>
        <v>0</v>
      </c>
      <c r="AB184" s="17" t="n">
        <f aca="false">$H184*MAX(0,(MIN($G184,DATE(2026,12,31))-MAX($E184,DATE(2026,12,1))+1))/30.4</f>
        <v>0</v>
      </c>
    </row>
    <row r="185" customFormat="false" ht="15" hidden="false" customHeight="false" outlineLevel="0" collapsed="false">
      <c r="A185" s="10" t="n">
        <v>134</v>
      </c>
      <c r="B185" s="10" t="n">
        <v>1</v>
      </c>
      <c r="C185" s="10"/>
      <c r="D185" s="10" t="s">
        <v>67</v>
      </c>
      <c r="E185" s="12" t="n">
        <v>46209</v>
      </c>
      <c r="F185" s="10" t="n">
        <v>5</v>
      </c>
      <c r="G185" s="12" t="n">
        <v>46244</v>
      </c>
      <c r="H185" s="13" t="n">
        <v>1</v>
      </c>
      <c r="I185" s="10" t="s">
        <v>113</v>
      </c>
      <c r="J185" s="14" t="str">
        <f aca="false">IFERROR(VLOOKUP(D185,Role_Mapping!$A$5:$D$31,2,FALSE()),"UNMAPPED")</f>
        <v>Senior Associate Consultant</v>
      </c>
      <c r="K185" s="14" t="str">
        <f aca="false">IFERROR(VLOOKUP(D185,Role_Mapping!$A$5:$D$31,3,FALSE()),"IN")</f>
        <v>IN</v>
      </c>
      <c r="L185" s="15" t="n">
        <f aca="false">IFERROR(SUMPRODUCT((Rate_Card!$A$5:$A$34=J185)*(Rate_Card!$B$5:$B$34=K185)*Rate_Card!$C$5:$C$34),0)</f>
        <v>683</v>
      </c>
      <c r="M185" s="10" t="n">
        <f aca="false">F185*5</f>
        <v>25</v>
      </c>
      <c r="N185" s="16" t="n">
        <f aca="false">L185*M185*H185</f>
        <v>17075</v>
      </c>
      <c r="O185" s="10" t="n">
        <f aca="false">(G185-E185)+1</f>
        <v>36</v>
      </c>
      <c r="P185" s="14" t="str">
        <f aca="false">IFERROR(VLOOKUP(D185,Role_Mapping!$A$5:$D$31,4,FALSE()),"UNMAPPED")</f>
        <v>Consulting</v>
      </c>
      <c r="Q185" s="16" t="n">
        <f aca="false">$N185*MAX(0,(MIN($G185,DATE(2026,7,31))-MAX($E185,DATE(2026,7,1))+1))/$O185</f>
        <v>12331.9444444444</v>
      </c>
      <c r="R185" s="16" t="n">
        <f aca="false">$N185*MAX(0,(MIN($G185,DATE(2026,8,31))-MAX($E185,DATE(2026,8,1))+1))/$O185</f>
        <v>4743.05555555556</v>
      </c>
      <c r="S185" s="16" t="n">
        <f aca="false">$N185*MAX(0,(MIN($G185,DATE(2026,9,30))-MAX($E185,DATE(2026,9,1))+1))/$O185</f>
        <v>0</v>
      </c>
      <c r="T185" s="16" t="n">
        <f aca="false">$N185*MAX(0,(MIN($G185,DATE(2026,10,31))-MAX($E185,DATE(2026,10,1))+1))/$O185</f>
        <v>0</v>
      </c>
      <c r="U185" s="16" t="n">
        <f aca="false">$N185*MAX(0,(MIN($G185,DATE(2026,11,30))-MAX($E185,DATE(2026,11,1))+1))/$O185</f>
        <v>0</v>
      </c>
      <c r="V185" s="16" t="n">
        <f aca="false">$N185*MAX(0,(MIN($G185,DATE(2026,12,31))-MAX($E185,DATE(2026,12,1))+1))/$O185</f>
        <v>0</v>
      </c>
      <c r="W185" s="17" t="n">
        <f aca="false">$H185*MAX(0,(MIN($G185,DATE(2026,7,31))-MAX($E185,DATE(2026,7,1))+1))/30.4</f>
        <v>0.855263157894737</v>
      </c>
      <c r="X185" s="17" t="n">
        <f aca="false">$H185*MAX(0,(MIN($G185,DATE(2026,8,31))-MAX($E185,DATE(2026,8,1))+1))/30.4</f>
        <v>0.328947368421053</v>
      </c>
      <c r="Y185" s="17" t="n">
        <f aca="false">$H185*MAX(0,(MIN($G185,DATE(2026,9,30))-MAX($E185,DATE(2026,9,1))+1))/30.4</f>
        <v>0</v>
      </c>
      <c r="Z185" s="17" t="n">
        <f aca="false">$H185*MAX(0,(MIN($G185,DATE(2026,10,31))-MAX($E185,DATE(2026,10,1))+1))/30.4</f>
        <v>0</v>
      </c>
      <c r="AA185" s="17" t="n">
        <f aca="false">$H185*MAX(0,(MIN($G185,DATE(2026,11,30))-MAX($E185,DATE(2026,11,1))+1))/30.4</f>
        <v>0</v>
      </c>
      <c r="AB185" s="17" t="n">
        <f aca="false">$H185*MAX(0,(MIN($G185,DATE(2026,12,31))-MAX($E185,DATE(2026,12,1))+1))/30.4</f>
        <v>0</v>
      </c>
    </row>
    <row r="186" customFormat="false" ht="15" hidden="false" customHeight="false" outlineLevel="0" collapsed="false">
      <c r="A186" s="10" t="n">
        <v>135</v>
      </c>
      <c r="B186" s="10" t="n">
        <v>1</v>
      </c>
      <c r="C186" s="10"/>
      <c r="D186" s="10" t="s">
        <v>64</v>
      </c>
      <c r="E186" s="12" t="n">
        <v>46209</v>
      </c>
      <c r="F186" s="10" t="n">
        <v>5</v>
      </c>
      <c r="G186" s="12" t="n">
        <v>46244</v>
      </c>
      <c r="H186" s="13" t="n">
        <v>0.125</v>
      </c>
      <c r="I186" s="10" t="s">
        <v>113</v>
      </c>
      <c r="J186" s="14" t="str">
        <f aca="false">IFERROR(VLOOKUP(D186,Role_Mapping!$A$5:$D$31,2,FALSE()),"UNMAPPED")</f>
        <v>Principal Technology Architect</v>
      </c>
      <c r="K186" s="14" t="str">
        <f aca="false">IFERROR(VLOOKUP(D186,Role_Mapping!$A$5:$D$31,3,FALSE()),"IN")</f>
        <v>IN</v>
      </c>
      <c r="L186" s="15" t="n">
        <f aca="false">IFERROR(SUMPRODUCT((Rate_Card!$A$5:$A$34=J186)*(Rate_Card!$B$5:$B$34=K186)*Rate_Card!$C$5:$C$34),0)</f>
        <v>845</v>
      </c>
      <c r="M186" s="10" t="n">
        <f aca="false">F186*5</f>
        <v>25</v>
      </c>
      <c r="N186" s="16" t="n">
        <f aca="false">L186*M186*H186</f>
        <v>2640.625</v>
      </c>
      <c r="O186" s="10" t="n">
        <f aca="false">(G186-E186)+1</f>
        <v>36</v>
      </c>
      <c r="P186" s="14" t="str">
        <f aca="false">IFERROR(VLOOKUP(D186,Role_Mapping!$A$5:$D$31,4,FALSE()),"UNMAPPED")</f>
        <v>Full Stack</v>
      </c>
      <c r="Q186" s="16" t="n">
        <f aca="false">$N186*MAX(0,(MIN($G186,DATE(2026,7,31))-MAX($E186,DATE(2026,7,1))+1))/$O186</f>
        <v>1907.11805555556</v>
      </c>
      <c r="R186" s="16" t="n">
        <f aca="false">$N186*MAX(0,(MIN($G186,DATE(2026,8,31))-MAX($E186,DATE(2026,8,1))+1))/$O186</f>
        <v>733.506944444445</v>
      </c>
      <c r="S186" s="16" t="n">
        <f aca="false">$N186*MAX(0,(MIN($G186,DATE(2026,9,30))-MAX($E186,DATE(2026,9,1))+1))/$O186</f>
        <v>0</v>
      </c>
      <c r="T186" s="16" t="n">
        <f aca="false">$N186*MAX(0,(MIN($G186,DATE(2026,10,31))-MAX($E186,DATE(2026,10,1))+1))/$O186</f>
        <v>0</v>
      </c>
      <c r="U186" s="16" t="n">
        <f aca="false">$N186*MAX(0,(MIN($G186,DATE(2026,11,30))-MAX($E186,DATE(2026,11,1))+1))/$O186</f>
        <v>0</v>
      </c>
      <c r="V186" s="16" t="n">
        <f aca="false">$N186*MAX(0,(MIN($G186,DATE(2026,12,31))-MAX($E186,DATE(2026,12,1))+1))/$O186</f>
        <v>0</v>
      </c>
      <c r="W186" s="17" t="n">
        <f aca="false">$H186*MAX(0,(MIN($G186,DATE(2026,7,31))-MAX($E186,DATE(2026,7,1))+1))/30.4</f>
        <v>0.106907894736842</v>
      </c>
      <c r="X186" s="17" t="n">
        <f aca="false">$H186*MAX(0,(MIN($G186,DATE(2026,8,31))-MAX($E186,DATE(2026,8,1))+1))/30.4</f>
        <v>0.0411184210526316</v>
      </c>
      <c r="Y186" s="17" t="n">
        <f aca="false">$H186*MAX(0,(MIN($G186,DATE(2026,9,30))-MAX($E186,DATE(2026,9,1))+1))/30.4</f>
        <v>0</v>
      </c>
      <c r="Z186" s="17" t="n">
        <f aca="false">$H186*MAX(0,(MIN($G186,DATE(2026,10,31))-MAX($E186,DATE(2026,10,1))+1))/30.4</f>
        <v>0</v>
      </c>
      <c r="AA186" s="17" t="n">
        <f aca="false">$H186*MAX(0,(MIN($G186,DATE(2026,11,30))-MAX($E186,DATE(2026,11,1))+1))/30.4</f>
        <v>0</v>
      </c>
      <c r="AB186" s="17" t="n">
        <f aca="false">$H186*MAX(0,(MIN($G186,DATE(2026,12,31))-MAX($E186,DATE(2026,12,1))+1))/30.4</f>
        <v>0</v>
      </c>
    </row>
    <row r="187" customFormat="false" ht="15" hidden="false" customHeight="false" outlineLevel="0" collapsed="false">
      <c r="A187" s="10" t="n">
        <v>136</v>
      </c>
      <c r="B187" s="10" t="n">
        <v>1</v>
      </c>
      <c r="C187" s="10"/>
      <c r="D187" s="10" t="s">
        <v>80</v>
      </c>
      <c r="E187" s="12" t="n">
        <v>46209</v>
      </c>
      <c r="F187" s="10" t="n">
        <v>5</v>
      </c>
      <c r="G187" s="12" t="n">
        <v>46244</v>
      </c>
      <c r="H187" s="13" t="n">
        <v>0.5</v>
      </c>
      <c r="I187" s="10" t="s">
        <v>113</v>
      </c>
      <c r="J187" s="14" t="str">
        <f aca="false">IFERROR(VLOOKUP(D187,Role_Mapping!$A$5:$D$31,2,FALSE()),"UNMAPPED")</f>
        <v>Solutions Consultant</v>
      </c>
      <c r="K187" s="14" t="str">
        <f aca="false">IFERROR(VLOOKUP(D187,Role_Mapping!$A$5:$D$31,3,FALSE()),"IN")</f>
        <v>IN</v>
      </c>
      <c r="L187" s="15" t="n">
        <f aca="false">IFERROR(SUMPRODUCT((Rate_Card!$A$5:$A$34=J187)*(Rate_Card!$B$5:$B$34=K187)*Rate_Card!$C$5:$C$34),0)</f>
        <v>683</v>
      </c>
      <c r="M187" s="10" t="n">
        <f aca="false">F187*5</f>
        <v>25</v>
      </c>
      <c r="N187" s="16" t="n">
        <f aca="false">L187*M187*H187</f>
        <v>8537.5</v>
      </c>
      <c r="O187" s="10" t="n">
        <f aca="false">(G187-E187)+1</f>
        <v>36</v>
      </c>
      <c r="P187" s="14" t="str">
        <f aca="false">IFERROR(VLOOKUP(D187,Role_Mapping!$A$5:$D$31,4,FALSE()),"UNMAPPED")</f>
        <v>Power BI &amp; Consulting</v>
      </c>
      <c r="Q187" s="16" t="n">
        <f aca="false">$N187*MAX(0,(MIN($G187,DATE(2026,7,31))-MAX($E187,DATE(2026,7,1))+1))/$O187</f>
        <v>6165.97222222222</v>
      </c>
      <c r="R187" s="16" t="n">
        <f aca="false">$N187*MAX(0,(MIN($G187,DATE(2026,8,31))-MAX($E187,DATE(2026,8,1))+1))/$O187</f>
        <v>2371.52777777778</v>
      </c>
      <c r="S187" s="16" t="n">
        <f aca="false">$N187*MAX(0,(MIN($G187,DATE(2026,9,30))-MAX($E187,DATE(2026,9,1))+1))/$O187</f>
        <v>0</v>
      </c>
      <c r="T187" s="16" t="n">
        <f aca="false">$N187*MAX(0,(MIN($G187,DATE(2026,10,31))-MAX($E187,DATE(2026,10,1))+1))/$O187</f>
        <v>0</v>
      </c>
      <c r="U187" s="16" t="n">
        <f aca="false">$N187*MAX(0,(MIN($G187,DATE(2026,11,30))-MAX($E187,DATE(2026,11,1))+1))/$O187</f>
        <v>0</v>
      </c>
      <c r="V187" s="16" t="n">
        <f aca="false">$N187*MAX(0,(MIN($G187,DATE(2026,12,31))-MAX($E187,DATE(2026,12,1))+1))/$O187</f>
        <v>0</v>
      </c>
      <c r="W187" s="17" t="n">
        <f aca="false">$H187*MAX(0,(MIN($G187,DATE(2026,7,31))-MAX($E187,DATE(2026,7,1))+1))/30.4</f>
        <v>0.427631578947368</v>
      </c>
      <c r="X187" s="17" t="n">
        <f aca="false">$H187*MAX(0,(MIN($G187,DATE(2026,8,31))-MAX($E187,DATE(2026,8,1))+1))/30.4</f>
        <v>0.164473684210526</v>
      </c>
      <c r="Y187" s="17" t="n">
        <f aca="false">$H187*MAX(0,(MIN($G187,DATE(2026,9,30))-MAX($E187,DATE(2026,9,1))+1))/30.4</f>
        <v>0</v>
      </c>
      <c r="Z187" s="17" t="n">
        <f aca="false">$H187*MAX(0,(MIN($G187,DATE(2026,10,31))-MAX($E187,DATE(2026,10,1))+1))/30.4</f>
        <v>0</v>
      </c>
      <c r="AA187" s="17" t="n">
        <f aca="false">$H187*MAX(0,(MIN($G187,DATE(2026,11,30))-MAX($E187,DATE(2026,11,1))+1))/30.4</f>
        <v>0</v>
      </c>
      <c r="AB187" s="17" t="n">
        <f aca="false">$H187*MAX(0,(MIN($G187,DATE(2026,12,31))-MAX($E187,DATE(2026,12,1))+1))/30.4</f>
        <v>0</v>
      </c>
    </row>
    <row r="188" customFormat="false" ht="15" hidden="false" customHeight="false" outlineLevel="0" collapsed="false">
      <c r="A188" s="10" t="n">
        <v>137</v>
      </c>
      <c r="B188" s="10" t="n">
        <v>1</v>
      </c>
      <c r="C188" s="10"/>
      <c r="D188" s="10" t="s">
        <v>58</v>
      </c>
      <c r="E188" s="12" t="n">
        <v>46209</v>
      </c>
      <c r="F188" s="10" t="n">
        <v>5</v>
      </c>
      <c r="G188" s="12" t="n">
        <v>46244</v>
      </c>
      <c r="H188" s="13" t="n">
        <v>1</v>
      </c>
      <c r="I188" s="10" t="s">
        <v>113</v>
      </c>
      <c r="J188" s="14" t="str">
        <f aca="false">IFERROR(VLOOKUP(D188,Role_Mapping!$A$5:$D$31,2,FALSE()),"UNMAPPED")</f>
        <v>Solutions Enabler</v>
      </c>
      <c r="K188" s="14" t="str">
        <f aca="false">IFERROR(VLOOKUP(D188,Role_Mapping!$A$5:$D$31,3,FALSE()),"IN")</f>
        <v>IN</v>
      </c>
      <c r="L188" s="15" t="n">
        <f aca="false">IFERROR(SUMPRODUCT((Rate_Card!$A$5:$A$34=J188)*(Rate_Card!$B$5:$B$34=K188)*Rate_Card!$C$5:$C$34),0)</f>
        <v>683</v>
      </c>
      <c r="M188" s="10" t="n">
        <f aca="false">F188*5</f>
        <v>25</v>
      </c>
      <c r="N188" s="16" t="n">
        <f aca="false">L188*M188*H188</f>
        <v>17075</v>
      </c>
      <c r="O188" s="10" t="n">
        <f aca="false">(G188-E188)+1</f>
        <v>36</v>
      </c>
      <c r="P188" s="14" t="str">
        <f aca="false">IFERROR(VLOOKUP(D188,Role_Mapping!$A$5:$D$31,4,FALSE()),"UNMAPPED")</f>
        <v>Data Engineering</v>
      </c>
      <c r="Q188" s="16" t="n">
        <f aca="false">$N188*MAX(0,(MIN($G188,DATE(2026,7,31))-MAX($E188,DATE(2026,7,1))+1))/$O188</f>
        <v>12331.9444444444</v>
      </c>
      <c r="R188" s="16" t="n">
        <f aca="false">$N188*MAX(0,(MIN($G188,DATE(2026,8,31))-MAX($E188,DATE(2026,8,1))+1))/$O188</f>
        <v>4743.05555555556</v>
      </c>
      <c r="S188" s="16" t="n">
        <f aca="false">$N188*MAX(0,(MIN($G188,DATE(2026,9,30))-MAX($E188,DATE(2026,9,1))+1))/$O188</f>
        <v>0</v>
      </c>
      <c r="T188" s="16" t="n">
        <f aca="false">$N188*MAX(0,(MIN($G188,DATE(2026,10,31))-MAX($E188,DATE(2026,10,1))+1))/$O188</f>
        <v>0</v>
      </c>
      <c r="U188" s="16" t="n">
        <f aca="false">$N188*MAX(0,(MIN($G188,DATE(2026,11,30))-MAX($E188,DATE(2026,11,1))+1))/$O188</f>
        <v>0</v>
      </c>
      <c r="V188" s="16" t="n">
        <f aca="false">$N188*MAX(0,(MIN($G188,DATE(2026,12,31))-MAX($E188,DATE(2026,12,1))+1))/$O188</f>
        <v>0</v>
      </c>
      <c r="W188" s="17" t="n">
        <f aca="false">$H188*MAX(0,(MIN($G188,DATE(2026,7,31))-MAX($E188,DATE(2026,7,1))+1))/30.4</f>
        <v>0.855263157894737</v>
      </c>
      <c r="X188" s="17" t="n">
        <f aca="false">$H188*MAX(0,(MIN($G188,DATE(2026,8,31))-MAX($E188,DATE(2026,8,1))+1))/30.4</f>
        <v>0.328947368421053</v>
      </c>
      <c r="Y188" s="17" t="n">
        <f aca="false">$H188*MAX(0,(MIN($G188,DATE(2026,9,30))-MAX($E188,DATE(2026,9,1))+1))/30.4</f>
        <v>0</v>
      </c>
      <c r="Z188" s="17" t="n">
        <f aca="false">$H188*MAX(0,(MIN($G188,DATE(2026,10,31))-MAX($E188,DATE(2026,10,1))+1))/30.4</f>
        <v>0</v>
      </c>
      <c r="AA188" s="17" t="n">
        <f aca="false">$H188*MAX(0,(MIN($G188,DATE(2026,11,30))-MAX($E188,DATE(2026,11,1))+1))/30.4</f>
        <v>0</v>
      </c>
      <c r="AB188" s="17" t="n">
        <f aca="false">$H188*MAX(0,(MIN($G188,DATE(2026,12,31))-MAX($E188,DATE(2026,12,1))+1))/30.4</f>
        <v>0</v>
      </c>
    </row>
    <row r="189" customFormat="false" ht="15" hidden="false" customHeight="false" outlineLevel="0" collapsed="false">
      <c r="A189" s="10" t="n">
        <v>138</v>
      </c>
      <c r="B189" s="10" t="n">
        <v>1</v>
      </c>
      <c r="C189" s="10"/>
      <c r="D189" s="10" t="s">
        <v>76</v>
      </c>
      <c r="E189" s="12" t="n">
        <v>46209</v>
      </c>
      <c r="F189" s="10" t="n">
        <v>5</v>
      </c>
      <c r="G189" s="12" t="n">
        <v>46244</v>
      </c>
      <c r="H189" s="13" t="n">
        <v>1</v>
      </c>
      <c r="I189" s="10" t="s">
        <v>113</v>
      </c>
      <c r="J189" s="14" t="str">
        <f aca="false">IFERROR(VLOOKUP(D189,Role_Mapping!$A$5:$D$31,2,FALSE()),"UNMAPPED")</f>
        <v>Senior Software Engineer</v>
      </c>
      <c r="K189" s="14" t="str">
        <f aca="false">IFERROR(VLOOKUP(D189,Role_Mapping!$A$5:$D$31,3,FALSE()),"IN")</f>
        <v>IN</v>
      </c>
      <c r="L189" s="15" t="n">
        <f aca="false">IFERROR(SUMPRODUCT((Rate_Card!$A$5:$A$34=J189)*(Rate_Card!$B$5:$B$34=K189)*Rate_Card!$C$5:$C$34),0)</f>
        <v>585</v>
      </c>
      <c r="M189" s="10" t="n">
        <f aca="false">F189*5</f>
        <v>25</v>
      </c>
      <c r="N189" s="16" t="n">
        <f aca="false">L189*M189*H189</f>
        <v>14625</v>
      </c>
      <c r="O189" s="10" t="n">
        <f aca="false">(G189-E189)+1</f>
        <v>36</v>
      </c>
      <c r="P189" s="14" t="str">
        <f aca="false">IFERROR(VLOOKUP(D189,Role_Mapping!$A$5:$D$31,4,FALSE()),"UNMAPPED")</f>
        <v>Full Stack</v>
      </c>
      <c r="Q189" s="16" t="n">
        <f aca="false">$N189*MAX(0,(MIN($G189,DATE(2026,7,31))-MAX($E189,DATE(2026,7,1))+1))/$O189</f>
        <v>10562.5</v>
      </c>
      <c r="R189" s="16" t="n">
        <f aca="false">$N189*MAX(0,(MIN($G189,DATE(2026,8,31))-MAX($E189,DATE(2026,8,1))+1))/$O189</f>
        <v>4062.5</v>
      </c>
      <c r="S189" s="16" t="n">
        <f aca="false">$N189*MAX(0,(MIN($G189,DATE(2026,9,30))-MAX($E189,DATE(2026,9,1))+1))/$O189</f>
        <v>0</v>
      </c>
      <c r="T189" s="16" t="n">
        <f aca="false">$N189*MAX(0,(MIN($G189,DATE(2026,10,31))-MAX($E189,DATE(2026,10,1))+1))/$O189</f>
        <v>0</v>
      </c>
      <c r="U189" s="16" t="n">
        <f aca="false">$N189*MAX(0,(MIN($G189,DATE(2026,11,30))-MAX($E189,DATE(2026,11,1))+1))/$O189</f>
        <v>0</v>
      </c>
      <c r="V189" s="16" t="n">
        <f aca="false">$N189*MAX(0,(MIN($G189,DATE(2026,12,31))-MAX($E189,DATE(2026,12,1))+1))/$O189</f>
        <v>0</v>
      </c>
      <c r="W189" s="17" t="n">
        <f aca="false">$H189*MAX(0,(MIN($G189,DATE(2026,7,31))-MAX($E189,DATE(2026,7,1))+1))/30.4</f>
        <v>0.855263157894737</v>
      </c>
      <c r="X189" s="17" t="n">
        <f aca="false">$H189*MAX(0,(MIN($G189,DATE(2026,8,31))-MAX($E189,DATE(2026,8,1))+1))/30.4</f>
        <v>0.328947368421053</v>
      </c>
      <c r="Y189" s="17" t="n">
        <f aca="false">$H189*MAX(0,(MIN($G189,DATE(2026,9,30))-MAX($E189,DATE(2026,9,1))+1))/30.4</f>
        <v>0</v>
      </c>
      <c r="Z189" s="17" t="n">
        <f aca="false">$H189*MAX(0,(MIN($G189,DATE(2026,10,31))-MAX($E189,DATE(2026,10,1))+1))/30.4</f>
        <v>0</v>
      </c>
      <c r="AA189" s="17" t="n">
        <f aca="false">$H189*MAX(0,(MIN($G189,DATE(2026,11,30))-MAX($E189,DATE(2026,11,1))+1))/30.4</f>
        <v>0</v>
      </c>
      <c r="AB189" s="17" t="n">
        <f aca="false">$H189*MAX(0,(MIN($G189,DATE(2026,12,31))-MAX($E189,DATE(2026,12,1))+1))/30.4</f>
        <v>0</v>
      </c>
    </row>
    <row r="190" customFormat="false" ht="15" hidden="false" customHeight="false" outlineLevel="0" collapsed="false">
      <c r="A190" s="10" t="n">
        <v>139</v>
      </c>
      <c r="B190" s="10" t="n">
        <v>1</v>
      </c>
      <c r="C190" s="10" t="s">
        <v>152</v>
      </c>
      <c r="D190" s="10" t="s">
        <v>49</v>
      </c>
      <c r="E190" s="12" t="n">
        <v>46202</v>
      </c>
      <c r="F190" s="10" t="n">
        <v>6</v>
      </c>
      <c r="G190" s="12" t="n">
        <v>46244</v>
      </c>
      <c r="H190" s="13" t="n">
        <v>0.125</v>
      </c>
      <c r="I190" s="10" t="s">
        <v>113</v>
      </c>
      <c r="J190" s="14" t="str">
        <f aca="false">IFERROR(VLOOKUP(D190,Role_Mapping!$A$5:$D$31,2,FALSE()),"UNMAPPED")</f>
        <v>Associate Partner</v>
      </c>
      <c r="K190" s="14" t="str">
        <f aca="false">IFERROR(VLOOKUP(D190,Role_Mapping!$A$5:$D$31,3,FALSE()),"IN")</f>
        <v>UK</v>
      </c>
      <c r="L190" s="15" t="n">
        <f aca="false">IFERROR(SUMPRODUCT((Rate_Card!$A$5:$A$34=J190)*(Rate_Card!$B$5:$B$34=K190)*Rate_Card!$C$5:$C$34),0)</f>
        <v>3526</v>
      </c>
      <c r="M190" s="10" t="n">
        <f aca="false">F190*5</f>
        <v>30</v>
      </c>
      <c r="N190" s="16" t="n">
        <f aca="false">L190*M190*H190</f>
        <v>13222.5</v>
      </c>
      <c r="O190" s="10" t="n">
        <f aca="false">(G190-E190)+1</f>
        <v>43</v>
      </c>
      <c r="P190" s="14" t="str">
        <f aca="false">IFERROR(VLOOKUP(D190,Role_Mapping!$A$5:$D$31,4,FALSE()),"UNMAPPED")</f>
        <v>GTM</v>
      </c>
      <c r="Q190" s="16" t="n">
        <f aca="false">$N190*MAX(0,(MIN($G190,DATE(2026,7,31))-MAX($E190,DATE(2026,7,1))+1))/$O190</f>
        <v>9532.5</v>
      </c>
      <c r="R190" s="16" t="n">
        <f aca="false">$N190*MAX(0,(MIN($G190,DATE(2026,8,31))-MAX($E190,DATE(2026,8,1))+1))/$O190</f>
        <v>3075</v>
      </c>
      <c r="S190" s="16" t="n">
        <f aca="false">$N190*MAX(0,(MIN($G190,DATE(2026,9,30))-MAX($E190,DATE(2026,9,1))+1))/$O190</f>
        <v>0</v>
      </c>
      <c r="T190" s="16" t="n">
        <f aca="false">$N190*MAX(0,(MIN($G190,DATE(2026,10,31))-MAX($E190,DATE(2026,10,1))+1))/$O190</f>
        <v>0</v>
      </c>
      <c r="U190" s="16" t="n">
        <f aca="false">$N190*MAX(0,(MIN($G190,DATE(2026,11,30))-MAX($E190,DATE(2026,11,1))+1))/$O190</f>
        <v>0</v>
      </c>
      <c r="V190" s="16" t="n">
        <f aca="false">$N190*MAX(0,(MIN($G190,DATE(2026,12,31))-MAX($E190,DATE(2026,12,1))+1))/$O190</f>
        <v>0</v>
      </c>
      <c r="W190" s="17" t="n">
        <f aca="false">$H190*MAX(0,(MIN($G190,DATE(2026,7,31))-MAX($E190,DATE(2026,7,1))+1))/30.4</f>
        <v>0.127467105263158</v>
      </c>
      <c r="X190" s="17" t="n">
        <f aca="false">$H190*MAX(0,(MIN($G190,DATE(2026,8,31))-MAX($E190,DATE(2026,8,1))+1))/30.4</f>
        <v>0.0411184210526316</v>
      </c>
      <c r="Y190" s="17" t="n">
        <f aca="false">$H190*MAX(0,(MIN($G190,DATE(2026,9,30))-MAX($E190,DATE(2026,9,1))+1))/30.4</f>
        <v>0</v>
      </c>
      <c r="Z190" s="17" t="n">
        <f aca="false">$H190*MAX(0,(MIN($G190,DATE(2026,10,31))-MAX($E190,DATE(2026,10,1))+1))/30.4</f>
        <v>0</v>
      </c>
      <c r="AA190" s="17" t="n">
        <f aca="false">$H190*MAX(0,(MIN($G190,DATE(2026,11,30))-MAX($E190,DATE(2026,11,1))+1))/30.4</f>
        <v>0</v>
      </c>
      <c r="AB190" s="17" t="n">
        <f aca="false">$H190*MAX(0,(MIN($G190,DATE(2026,12,31))-MAX($E190,DATE(2026,12,1))+1))/30.4</f>
        <v>0</v>
      </c>
    </row>
    <row r="191" customFormat="false" ht="15" hidden="false" customHeight="false" outlineLevel="0" collapsed="false">
      <c r="A191" s="10" t="n">
        <v>140</v>
      </c>
      <c r="B191" s="10" t="n">
        <v>1</v>
      </c>
      <c r="C191" s="10"/>
      <c r="D191" s="10" t="s">
        <v>61</v>
      </c>
      <c r="E191" s="12" t="n">
        <v>46202</v>
      </c>
      <c r="F191" s="10" t="n">
        <v>5</v>
      </c>
      <c r="G191" s="12" t="n">
        <v>46237</v>
      </c>
      <c r="H191" s="13" t="n">
        <v>0.75</v>
      </c>
      <c r="I191" s="10" t="s">
        <v>113</v>
      </c>
      <c r="J191" s="14" t="str">
        <f aca="false">IFERROR(VLOOKUP(D191,Role_Mapping!$A$5:$D$31,2,FALSE()),"UNMAPPED")</f>
        <v>Manager</v>
      </c>
      <c r="K191" s="14" t="str">
        <f aca="false">IFERROR(VLOOKUP(D191,Role_Mapping!$A$5:$D$31,3,FALSE()),"IN")</f>
        <v>UK</v>
      </c>
      <c r="L191" s="15" t="n">
        <f aca="false">IFERROR(SUMPRODUCT((Rate_Card!$A$5:$A$34=J191)*(Rate_Card!$B$5:$B$34=K191)*Rate_Card!$C$5:$C$34),0)</f>
        <v>2984</v>
      </c>
      <c r="M191" s="10" t="n">
        <f aca="false">F191*5</f>
        <v>25</v>
      </c>
      <c r="N191" s="16" t="n">
        <f aca="false">L191*M191*H191</f>
        <v>55950</v>
      </c>
      <c r="O191" s="10" t="n">
        <f aca="false">(G191-E191)+1</f>
        <v>36</v>
      </c>
      <c r="P191" s="14" t="str">
        <f aca="false">IFERROR(VLOOKUP(D191,Role_Mapping!$A$5:$D$31,4,FALSE()),"UNMAPPED")</f>
        <v>Consulting</v>
      </c>
      <c r="Q191" s="16" t="n">
        <f aca="false">$N191*MAX(0,(MIN($G191,DATE(2026,7,31))-MAX($E191,DATE(2026,7,1))+1))/$O191</f>
        <v>48179.1666666667</v>
      </c>
      <c r="R191" s="16" t="n">
        <f aca="false">$N191*MAX(0,(MIN($G191,DATE(2026,8,31))-MAX($E191,DATE(2026,8,1))+1))/$O191</f>
        <v>4662.5</v>
      </c>
      <c r="S191" s="16" t="n">
        <f aca="false">$N191*MAX(0,(MIN($G191,DATE(2026,9,30))-MAX($E191,DATE(2026,9,1))+1))/$O191</f>
        <v>0</v>
      </c>
      <c r="T191" s="16" t="n">
        <f aca="false">$N191*MAX(0,(MIN($G191,DATE(2026,10,31))-MAX($E191,DATE(2026,10,1))+1))/$O191</f>
        <v>0</v>
      </c>
      <c r="U191" s="16" t="n">
        <f aca="false">$N191*MAX(0,(MIN($G191,DATE(2026,11,30))-MAX($E191,DATE(2026,11,1))+1))/$O191</f>
        <v>0</v>
      </c>
      <c r="V191" s="16" t="n">
        <f aca="false">$N191*MAX(0,(MIN($G191,DATE(2026,12,31))-MAX($E191,DATE(2026,12,1))+1))/$O191</f>
        <v>0</v>
      </c>
      <c r="W191" s="17" t="n">
        <f aca="false">$H191*MAX(0,(MIN($G191,DATE(2026,7,31))-MAX($E191,DATE(2026,7,1))+1))/30.4</f>
        <v>0.764802631578948</v>
      </c>
      <c r="X191" s="17" t="n">
        <f aca="false">$H191*MAX(0,(MIN($G191,DATE(2026,8,31))-MAX($E191,DATE(2026,8,1))+1))/30.4</f>
        <v>0.0740131578947369</v>
      </c>
      <c r="Y191" s="17" t="n">
        <f aca="false">$H191*MAX(0,(MIN($G191,DATE(2026,9,30))-MAX($E191,DATE(2026,9,1))+1))/30.4</f>
        <v>0</v>
      </c>
      <c r="Z191" s="17" t="n">
        <f aca="false">$H191*MAX(0,(MIN($G191,DATE(2026,10,31))-MAX($E191,DATE(2026,10,1))+1))/30.4</f>
        <v>0</v>
      </c>
      <c r="AA191" s="17" t="n">
        <f aca="false">$H191*MAX(0,(MIN($G191,DATE(2026,11,30))-MAX($E191,DATE(2026,11,1))+1))/30.4</f>
        <v>0</v>
      </c>
      <c r="AB191" s="17" t="n">
        <f aca="false">$H191*MAX(0,(MIN($G191,DATE(2026,12,31))-MAX($E191,DATE(2026,12,1))+1))/30.4</f>
        <v>0</v>
      </c>
    </row>
    <row r="192" customFormat="false" ht="15" hidden="false" customHeight="false" outlineLevel="0" collapsed="false">
      <c r="A192" s="10" t="n">
        <v>141</v>
      </c>
      <c r="B192" s="10" t="n">
        <v>1</v>
      </c>
      <c r="C192" s="10"/>
      <c r="D192" s="10" t="s">
        <v>67</v>
      </c>
      <c r="E192" s="12" t="n">
        <v>46202</v>
      </c>
      <c r="F192" s="10" t="n">
        <v>5</v>
      </c>
      <c r="G192" s="12" t="n">
        <v>46237</v>
      </c>
      <c r="H192" s="13" t="n">
        <v>1</v>
      </c>
      <c r="I192" s="10" t="s">
        <v>113</v>
      </c>
      <c r="J192" s="14" t="str">
        <f aca="false">IFERROR(VLOOKUP(D192,Role_Mapping!$A$5:$D$31,2,FALSE()),"UNMAPPED")</f>
        <v>Senior Associate Consultant</v>
      </c>
      <c r="K192" s="14" t="str">
        <f aca="false">IFERROR(VLOOKUP(D192,Role_Mapping!$A$5:$D$31,3,FALSE()),"IN")</f>
        <v>IN</v>
      </c>
      <c r="L192" s="15" t="n">
        <f aca="false">IFERROR(SUMPRODUCT((Rate_Card!$A$5:$A$34=J192)*(Rate_Card!$B$5:$B$34=K192)*Rate_Card!$C$5:$C$34),0)</f>
        <v>683</v>
      </c>
      <c r="M192" s="10" t="n">
        <f aca="false">F192*5</f>
        <v>25</v>
      </c>
      <c r="N192" s="16" t="n">
        <f aca="false">L192*M192*H192</f>
        <v>17075</v>
      </c>
      <c r="O192" s="10" t="n">
        <f aca="false">(G192-E192)+1</f>
        <v>36</v>
      </c>
      <c r="P192" s="14" t="str">
        <f aca="false">IFERROR(VLOOKUP(D192,Role_Mapping!$A$5:$D$31,4,FALSE()),"UNMAPPED")</f>
        <v>Consulting</v>
      </c>
      <c r="Q192" s="16" t="n">
        <f aca="false">$N192*MAX(0,(MIN($G192,DATE(2026,7,31))-MAX($E192,DATE(2026,7,1))+1))/$O192</f>
        <v>14703.4722222222</v>
      </c>
      <c r="R192" s="16" t="n">
        <f aca="false">$N192*MAX(0,(MIN($G192,DATE(2026,8,31))-MAX($E192,DATE(2026,8,1))+1))/$O192</f>
        <v>1422.91666666667</v>
      </c>
      <c r="S192" s="16" t="n">
        <f aca="false">$N192*MAX(0,(MIN($G192,DATE(2026,9,30))-MAX($E192,DATE(2026,9,1))+1))/$O192</f>
        <v>0</v>
      </c>
      <c r="T192" s="16" t="n">
        <f aca="false">$N192*MAX(0,(MIN($G192,DATE(2026,10,31))-MAX($E192,DATE(2026,10,1))+1))/$O192</f>
        <v>0</v>
      </c>
      <c r="U192" s="16" t="n">
        <f aca="false">$N192*MAX(0,(MIN($G192,DATE(2026,11,30))-MAX($E192,DATE(2026,11,1))+1))/$O192</f>
        <v>0</v>
      </c>
      <c r="V192" s="16" t="n">
        <f aca="false">$N192*MAX(0,(MIN($G192,DATE(2026,12,31))-MAX($E192,DATE(2026,12,1))+1))/$O192</f>
        <v>0</v>
      </c>
      <c r="W192" s="17" t="n">
        <f aca="false">$H192*MAX(0,(MIN($G192,DATE(2026,7,31))-MAX($E192,DATE(2026,7,1))+1))/30.4</f>
        <v>1.01973684210526</v>
      </c>
      <c r="X192" s="17" t="n">
        <f aca="false">$H192*MAX(0,(MIN($G192,DATE(2026,8,31))-MAX($E192,DATE(2026,8,1))+1))/30.4</f>
        <v>0.0986842105263158</v>
      </c>
      <c r="Y192" s="17" t="n">
        <f aca="false">$H192*MAX(0,(MIN($G192,DATE(2026,9,30))-MAX($E192,DATE(2026,9,1))+1))/30.4</f>
        <v>0</v>
      </c>
      <c r="Z192" s="17" t="n">
        <f aca="false">$H192*MAX(0,(MIN($G192,DATE(2026,10,31))-MAX($E192,DATE(2026,10,1))+1))/30.4</f>
        <v>0</v>
      </c>
      <c r="AA192" s="17" t="n">
        <f aca="false">$H192*MAX(0,(MIN($G192,DATE(2026,11,30))-MAX($E192,DATE(2026,11,1))+1))/30.4</f>
        <v>0</v>
      </c>
      <c r="AB192" s="17" t="n">
        <f aca="false">$H192*MAX(0,(MIN($G192,DATE(2026,12,31))-MAX($E192,DATE(2026,12,1))+1))/30.4</f>
        <v>0</v>
      </c>
    </row>
    <row r="193" customFormat="false" ht="15" hidden="false" customHeight="false" outlineLevel="0" collapsed="false">
      <c r="A193" s="10" t="n">
        <v>142</v>
      </c>
      <c r="B193" s="10" t="n">
        <v>1</v>
      </c>
      <c r="C193" s="10"/>
      <c r="D193" s="10" t="s">
        <v>64</v>
      </c>
      <c r="E193" s="12" t="n">
        <v>46202</v>
      </c>
      <c r="F193" s="10" t="n">
        <v>5</v>
      </c>
      <c r="G193" s="12" t="n">
        <v>46237</v>
      </c>
      <c r="H193" s="13" t="n">
        <v>0.25</v>
      </c>
      <c r="I193" s="10" t="s">
        <v>113</v>
      </c>
      <c r="J193" s="14" t="str">
        <f aca="false">IFERROR(VLOOKUP(D193,Role_Mapping!$A$5:$D$31,2,FALSE()),"UNMAPPED")</f>
        <v>Principal Technology Architect</v>
      </c>
      <c r="K193" s="14" t="str">
        <f aca="false">IFERROR(VLOOKUP(D193,Role_Mapping!$A$5:$D$31,3,FALSE()),"IN")</f>
        <v>IN</v>
      </c>
      <c r="L193" s="15" t="n">
        <f aca="false">IFERROR(SUMPRODUCT((Rate_Card!$A$5:$A$34=J193)*(Rate_Card!$B$5:$B$34=K193)*Rate_Card!$C$5:$C$34),0)</f>
        <v>845</v>
      </c>
      <c r="M193" s="10" t="n">
        <f aca="false">F193*5</f>
        <v>25</v>
      </c>
      <c r="N193" s="16" t="n">
        <f aca="false">L193*M193*H193</f>
        <v>5281.25</v>
      </c>
      <c r="O193" s="10" t="n">
        <f aca="false">(G193-E193)+1</f>
        <v>36</v>
      </c>
      <c r="P193" s="14" t="str">
        <f aca="false">IFERROR(VLOOKUP(D193,Role_Mapping!$A$5:$D$31,4,FALSE()),"UNMAPPED")</f>
        <v>Full Stack</v>
      </c>
      <c r="Q193" s="16" t="n">
        <f aca="false">$N193*MAX(0,(MIN($G193,DATE(2026,7,31))-MAX($E193,DATE(2026,7,1))+1))/$O193</f>
        <v>4547.74305555556</v>
      </c>
      <c r="R193" s="16" t="n">
        <f aca="false">$N193*MAX(0,(MIN($G193,DATE(2026,8,31))-MAX($E193,DATE(2026,8,1))+1))/$O193</f>
        <v>440.104166666667</v>
      </c>
      <c r="S193" s="16" t="n">
        <f aca="false">$N193*MAX(0,(MIN($G193,DATE(2026,9,30))-MAX($E193,DATE(2026,9,1))+1))/$O193</f>
        <v>0</v>
      </c>
      <c r="T193" s="16" t="n">
        <f aca="false">$N193*MAX(0,(MIN($G193,DATE(2026,10,31))-MAX($E193,DATE(2026,10,1))+1))/$O193</f>
        <v>0</v>
      </c>
      <c r="U193" s="16" t="n">
        <f aca="false">$N193*MAX(0,(MIN($G193,DATE(2026,11,30))-MAX($E193,DATE(2026,11,1))+1))/$O193</f>
        <v>0</v>
      </c>
      <c r="V193" s="16" t="n">
        <f aca="false">$N193*MAX(0,(MIN($G193,DATE(2026,12,31))-MAX($E193,DATE(2026,12,1))+1))/$O193</f>
        <v>0</v>
      </c>
      <c r="W193" s="17" t="n">
        <f aca="false">$H193*MAX(0,(MIN($G193,DATE(2026,7,31))-MAX($E193,DATE(2026,7,1))+1))/30.4</f>
        <v>0.254934210526316</v>
      </c>
      <c r="X193" s="17" t="n">
        <f aca="false">$H193*MAX(0,(MIN($G193,DATE(2026,8,31))-MAX($E193,DATE(2026,8,1))+1))/30.4</f>
        <v>0.0246710526315789</v>
      </c>
      <c r="Y193" s="17" t="n">
        <f aca="false">$H193*MAX(0,(MIN($G193,DATE(2026,9,30))-MAX($E193,DATE(2026,9,1))+1))/30.4</f>
        <v>0</v>
      </c>
      <c r="Z193" s="17" t="n">
        <f aca="false">$H193*MAX(0,(MIN($G193,DATE(2026,10,31))-MAX($E193,DATE(2026,10,1))+1))/30.4</f>
        <v>0</v>
      </c>
      <c r="AA193" s="17" t="n">
        <f aca="false">$H193*MAX(0,(MIN($G193,DATE(2026,11,30))-MAX($E193,DATE(2026,11,1))+1))/30.4</f>
        <v>0</v>
      </c>
      <c r="AB193" s="17" t="n">
        <f aca="false">$H193*MAX(0,(MIN($G193,DATE(2026,12,31))-MAX($E193,DATE(2026,12,1))+1))/30.4</f>
        <v>0</v>
      </c>
    </row>
    <row r="194" customFormat="false" ht="15" hidden="false" customHeight="false" outlineLevel="0" collapsed="false">
      <c r="A194" s="10" t="n">
        <v>143</v>
      </c>
      <c r="B194" s="10" t="n">
        <v>1</v>
      </c>
      <c r="C194" s="10"/>
      <c r="D194" s="10" t="s">
        <v>80</v>
      </c>
      <c r="E194" s="12" t="n">
        <v>46202</v>
      </c>
      <c r="F194" s="10" t="n">
        <v>5</v>
      </c>
      <c r="G194" s="12" t="n">
        <v>46237</v>
      </c>
      <c r="H194" s="13" t="n">
        <v>0.5</v>
      </c>
      <c r="I194" s="10" t="s">
        <v>113</v>
      </c>
      <c r="J194" s="14" t="str">
        <f aca="false">IFERROR(VLOOKUP(D194,Role_Mapping!$A$5:$D$31,2,FALSE()),"UNMAPPED")</f>
        <v>Solutions Consultant</v>
      </c>
      <c r="K194" s="14" t="str">
        <f aca="false">IFERROR(VLOOKUP(D194,Role_Mapping!$A$5:$D$31,3,FALSE()),"IN")</f>
        <v>IN</v>
      </c>
      <c r="L194" s="15" t="n">
        <f aca="false">IFERROR(SUMPRODUCT((Rate_Card!$A$5:$A$34=J194)*(Rate_Card!$B$5:$B$34=K194)*Rate_Card!$C$5:$C$34),0)</f>
        <v>683</v>
      </c>
      <c r="M194" s="10" t="n">
        <f aca="false">F194*5</f>
        <v>25</v>
      </c>
      <c r="N194" s="16" t="n">
        <f aca="false">L194*M194*H194</f>
        <v>8537.5</v>
      </c>
      <c r="O194" s="10" t="n">
        <f aca="false">(G194-E194)+1</f>
        <v>36</v>
      </c>
      <c r="P194" s="14" t="str">
        <f aca="false">IFERROR(VLOOKUP(D194,Role_Mapping!$A$5:$D$31,4,FALSE()),"UNMAPPED")</f>
        <v>Power BI &amp; Consulting</v>
      </c>
      <c r="Q194" s="16" t="n">
        <f aca="false">$N194*MAX(0,(MIN($G194,DATE(2026,7,31))-MAX($E194,DATE(2026,7,1))+1))/$O194</f>
        <v>7351.73611111111</v>
      </c>
      <c r="R194" s="16" t="n">
        <f aca="false">$N194*MAX(0,(MIN($G194,DATE(2026,8,31))-MAX($E194,DATE(2026,8,1))+1))/$O194</f>
        <v>711.458333333333</v>
      </c>
      <c r="S194" s="16" t="n">
        <f aca="false">$N194*MAX(0,(MIN($G194,DATE(2026,9,30))-MAX($E194,DATE(2026,9,1))+1))/$O194</f>
        <v>0</v>
      </c>
      <c r="T194" s="16" t="n">
        <f aca="false">$N194*MAX(0,(MIN($G194,DATE(2026,10,31))-MAX($E194,DATE(2026,10,1))+1))/$O194</f>
        <v>0</v>
      </c>
      <c r="U194" s="16" t="n">
        <f aca="false">$N194*MAX(0,(MIN($G194,DATE(2026,11,30))-MAX($E194,DATE(2026,11,1))+1))/$O194</f>
        <v>0</v>
      </c>
      <c r="V194" s="16" t="n">
        <f aca="false">$N194*MAX(0,(MIN($G194,DATE(2026,12,31))-MAX($E194,DATE(2026,12,1))+1))/$O194</f>
        <v>0</v>
      </c>
      <c r="W194" s="17" t="n">
        <f aca="false">$H194*MAX(0,(MIN($G194,DATE(2026,7,31))-MAX($E194,DATE(2026,7,1))+1))/30.4</f>
        <v>0.509868421052632</v>
      </c>
      <c r="X194" s="17" t="n">
        <f aca="false">$H194*MAX(0,(MIN($G194,DATE(2026,8,31))-MAX($E194,DATE(2026,8,1))+1))/30.4</f>
        <v>0.0493421052631579</v>
      </c>
      <c r="Y194" s="17" t="n">
        <f aca="false">$H194*MAX(0,(MIN($G194,DATE(2026,9,30))-MAX($E194,DATE(2026,9,1))+1))/30.4</f>
        <v>0</v>
      </c>
      <c r="Z194" s="17" t="n">
        <f aca="false">$H194*MAX(0,(MIN($G194,DATE(2026,10,31))-MAX($E194,DATE(2026,10,1))+1))/30.4</f>
        <v>0</v>
      </c>
      <c r="AA194" s="17" t="n">
        <f aca="false">$H194*MAX(0,(MIN($G194,DATE(2026,11,30))-MAX($E194,DATE(2026,11,1))+1))/30.4</f>
        <v>0</v>
      </c>
      <c r="AB194" s="17" t="n">
        <f aca="false">$H194*MAX(0,(MIN($G194,DATE(2026,12,31))-MAX($E194,DATE(2026,12,1))+1))/30.4</f>
        <v>0</v>
      </c>
    </row>
    <row r="195" customFormat="false" ht="15" hidden="false" customHeight="false" outlineLevel="0" collapsed="false">
      <c r="A195" s="10" t="n">
        <v>144</v>
      </c>
      <c r="B195" s="10" t="n">
        <v>1</v>
      </c>
      <c r="C195" s="10"/>
      <c r="D195" s="10" t="s">
        <v>58</v>
      </c>
      <c r="E195" s="12" t="n">
        <v>46202</v>
      </c>
      <c r="F195" s="10" t="n">
        <v>5</v>
      </c>
      <c r="G195" s="12" t="n">
        <v>46237</v>
      </c>
      <c r="H195" s="13" t="n">
        <v>1</v>
      </c>
      <c r="I195" s="10" t="s">
        <v>113</v>
      </c>
      <c r="J195" s="14" t="str">
        <f aca="false">IFERROR(VLOOKUP(D195,Role_Mapping!$A$5:$D$31,2,FALSE()),"UNMAPPED")</f>
        <v>Solutions Enabler</v>
      </c>
      <c r="K195" s="14" t="str">
        <f aca="false">IFERROR(VLOOKUP(D195,Role_Mapping!$A$5:$D$31,3,FALSE()),"IN")</f>
        <v>IN</v>
      </c>
      <c r="L195" s="15" t="n">
        <f aca="false">IFERROR(SUMPRODUCT((Rate_Card!$A$5:$A$34=J195)*(Rate_Card!$B$5:$B$34=K195)*Rate_Card!$C$5:$C$34),0)</f>
        <v>683</v>
      </c>
      <c r="M195" s="10" t="n">
        <f aca="false">F195*5</f>
        <v>25</v>
      </c>
      <c r="N195" s="16" t="n">
        <f aca="false">L195*M195*H195</f>
        <v>17075</v>
      </c>
      <c r="O195" s="10" t="n">
        <f aca="false">(G195-E195)+1</f>
        <v>36</v>
      </c>
      <c r="P195" s="14" t="str">
        <f aca="false">IFERROR(VLOOKUP(D195,Role_Mapping!$A$5:$D$31,4,FALSE()),"UNMAPPED")</f>
        <v>Data Engineering</v>
      </c>
      <c r="Q195" s="16" t="n">
        <f aca="false">$N195*MAX(0,(MIN($G195,DATE(2026,7,31))-MAX($E195,DATE(2026,7,1))+1))/$O195</f>
        <v>14703.4722222222</v>
      </c>
      <c r="R195" s="16" t="n">
        <f aca="false">$N195*MAX(0,(MIN($G195,DATE(2026,8,31))-MAX($E195,DATE(2026,8,1))+1))/$O195</f>
        <v>1422.91666666667</v>
      </c>
      <c r="S195" s="16" t="n">
        <f aca="false">$N195*MAX(0,(MIN($G195,DATE(2026,9,30))-MAX($E195,DATE(2026,9,1))+1))/$O195</f>
        <v>0</v>
      </c>
      <c r="T195" s="16" t="n">
        <f aca="false">$N195*MAX(0,(MIN($G195,DATE(2026,10,31))-MAX($E195,DATE(2026,10,1))+1))/$O195</f>
        <v>0</v>
      </c>
      <c r="U195" s="16" t="n">
        <f aca="false">$N195*MAX(0,(MIN($G195,DATE(2026,11,30))-MAX($E195,DATE(2026,11,1))+1))/$O195</f>
        <v>0</v>
      </c>
      <c r="V195" s="16" t="n">
        <f aca="false">$N195*MAX(0,(MIN($G195,DATE(2026,12,31))-MAX($E195,DATE(2026,12,1))+1))/$O195</f>
        <v>0</v>
      </c>
      <c r="W195" s="17" t="n">
        <f aca="false">$H195*MAX(0,(MIN($G195,DATE(2026,7,31))-MAX($E195,DATE(2026,7,1))+1))/30.4</f>
        <v>1.01973684210526</v>
      </c>
      <c r="X195" s="17" t="n">
        <f aca="false">$H195*MAX(0,(MIN($G195,DATE(2026,8,31))-MAX($E195,DATE(2026,8,1))+1))/30.4</f>
        <v>0.0986842105263158</v>
      </c>
      <c r="Y195" s="17" t="n">
        <f aca="false">$H195*MAX(0,(MIN($G195,DATE(2026,9,30))-MAX($E195,DATE(2026,9,1))+1))/30.4</f>
        <v>0</v>
      </c>
      <c r="Z195" s="17" t="n">
        <f aca="false">$H195*MAX(0,(MIN($G195,DATE(2026,10,31))-MAX($E195,DATE(2026,10,1))+1))/30.4</f>
        <v>0</v>
      </c>
      <c r="AA195" s="17" t="n">
        <f aca="false">$H195*MAX(0,(MIN($G195,DATE(2026,11,30))-MAX($E195,DATE(2026,11,1))+1))/30.4</f>
        <v>0</v>
      </c>
      <c r="AB195" s="17" t="n">
        <f aca="false">$H195*MAX(0,(MIN($G195,DATE(2026,12,31))-MAX($E195,DATE(2026,12,1))+1))/30.4</f>
        <v>0</v>
      </c>
    </row>
    <row r="196" customFormat="false" ht="15" hidden="false" customHeight="false" outlineLevel="0" collapsed="false">
      <c r="A196" s="10" t="n">
        <v>145</v>
      </c>
      <c r="B196" s="10" t="n">
        <v>1</v>
      </c>
      <c r="C196" s="10"/>
      <c r="D196" s="10" t="s">
        <v>76</v>
      </c>
      <c r="E196" s="12" t="n">
        <v>46202</v>
      </c>
      <c r="F196" s="10" t="n">
        <v>5</v>
      </c>
      <c r="G196" s="12" t="n">
        <v>46237</v>
      </c>
      <c r="H196" s="13" t="n">
        <v>1</v>
      </c>
      <c r="I196" s="10" t="s">
        <v>113</v>
      </c>
      <c r="J196" s="14" t="str">
        <f aca="false">IFERROR(VLOOKUP(D196,Role_Mapping!$A$5:$D$31,2,FALSE()),"UNMAPPED")</f>
        <v>Senior Software Engineer</v>
      </c>
      <c r="K196" s="14" t="str">
        <f aca="false">IFERROR(VLOOKUP(D196,Role_Mapping!$A$5:$D$31,3,FALSE()),"IN")</f>
        <v>IN</v>
      </c>
      <c r="L196" s="15" t="n">
        <f aca="false">IFERROR(SUMPRODUCT((Rate_Card!$A$5:$A$34=J196)*(Rate_Card!$B$5:$B$34=K196)*Rate_Card!$C$5:$C$34),0)</f>
        <v>585</v>
      </c>
      <c r="M196" s="10" t="n">
        <f aca="false">F196*5</f>
        <v>25</v>
      </c>
      <c r="N196" s="16" t="n">
        <f aca="false">L196*M196*H196</f>
        <v>14625</v>
      </c>
      <c r="O196" s="10" t="n">
        <f aca="false">(G196-E196)+1</f>
        <v>36</v>
      </c>
      <c r="P196" s="14" t="str">
        <f aca="false">IFERROR(VLOOKUP(D196,Role_Mapping!$A$5:$D$31,4,FALSE()),"UNMAPPED")</f>
        <v>Full Stack</v>
      </c>
      <c r="Q196" s="16" t="n">
        <f aca="false">$N196*MAX(0,(MIN($G196,DATE(2026,7,31))-MAX($E196,DATE(2026,7,1))+1))/$O196</f>
        <v>12593.75</v>
      </c>
      <c r="R196" s="16" t="n">
        <f aca="false">$N196*MAX(0,(MIN($G196,DATE(2026,8,31))-MAX($E196,DATE(2026,8,1))+1))/$O196</f>
        <v>1218.75</v>
      </c>
      <c r="S196" s="16" t="n">
        <f aca="false">$N196*MAX(0,(MIN($G196,DATE(2026,9,30))-MAX($E196,DATE(2026,9,1))+1))/$O196</f>
        <v>0</v>
      </c>
      <c r="T196" s="16" t="n">
        <f aca="false">$N196*MAX(0,(MIN($G196,DATE(2026,10,31))-MAX($E196,DATE(2026,10,1))+1))/$O196</f>
        <v>0</v>
      </c>
      <c r="U196" s="16" t="n">
        <f aca="false">$N196*MAX(0,(MIN($G196,DATE(2026,11,30))-MAX($E196,DATE(2026,11,1))+1))/$O196</f>
        <v>0</v>
      </c>
      <c r="V196" s="16" t="n">
        <f aca="false">$N196*MAX(0,(MIN($G196,DATE(2026,12,31))-MAX($E196,DATE(2026,12,1))+1))/$O196</f>
        <v>0</v>
      </c>
      <c r="W196" s="17" t="n">
        <f aca="false">$H196*MAX(0,(MIN($G196,DATE(2026,7,31))-MAX($E196,DATE(2026,7,1))+1))/30.4</f>
        <v>1.01973684210526</v>
      </c>
      <c r="X196" s="17" t="n">
        <f aca="false">$H196*MAX(0,(MIN($G196,DATE(2026,8,31))-MAX($E196,DATE(2026,8,1))+1))/30.4</f>
        <v>0.0986842105263158</v>
      </c>
      <c r="Y196" s="17" t="n">
        <f aca="false">$H196*MAX(0,(MIN($G196,DATE(2026,9,30))-MAX($E196,DATE(2026,9,1))+1))/30.4</f>
        <v>0</v>
      </c>
      <c r="Z196" s="17" t="n">
        <f aca="false">$H196*MAX(0,(MIN($G196,DATE(2026,10,31))-MAX($E196,DATE(2026,10,1))+1))/30.4</f>
        <v>0</v>
      </c>
      <c r="AA196" s="17" t="n">
        <f aca="false">$H196*MAX(0,(MIN($G196,DATE(2026,11,30))-MAX($E196,DATE(2026,11,1))+1))/30.4</f>
        <v>0</v>
      </c>
      <c r="AB196" s="17" t="n">
        <f aca="false">$H196*MAX(0,(MIN($G196,DATE(2026,12,31))-MAX($E196,DATE(2026,12,1))+1))/30.4</f>
        <v>0</v>
      </c>
    </row>
    <row r="197" customFormat="false" ht="15" hidden="false" customHeight="false" outlineLevel="0" collapsed="false">
      <c r="A197" s="10" t="n">
        <v>146</v>
      </c>
      <c r="B197" s="10" t="n">
        <v>1</v>
      </c>
      <c r="C197" s="10"/>
      <c r="D197" s="10" t="s">
        <v>75</v>
      </c>
      <c r="E197" s="12" t="n">
        <v>46202</v>
      </c>
      <c r="F197" s="10" t="n">
        <v>5</v>
      </c>
      <c r="G197" s="12" t="n">
        <v>46237</v>
      </c>
      <c r="H197" s="13" t="n">
        <v>1</v>
      </c>
      <c r="I197" s="10" t="s">
        <v>113</v>
      </c>
      <c r="J197" s="14" t="str">
        <f aca="false">IFERROR(VLOOKUP(D197,Role_Mapping!$A$5:$D$31,2,FALSE()),"UNMAPPED")</f>
        <v>Software Engineer</v>
      </c>
      <c r="K197" s="14" t="str">
        <f aca="false">IFERROR(VLOOKUP(D197,Role_Mapping!$A$5:$D$31,3,FALSE()),"IN")</f>
        <v>IN</v>
      </c>
      <c r="L197" s="15" t="n">
        <f aca="false">IFERROR(SUMPRODUCT((Rate_Card!$A$5:$A$34=J197)*(Rate_Card!$B$5:$B$34=K197)*Rate_Card!$C$5:$C$34),0)</f>
        <v>455</v>
      </c>
      <c r="M197" s="10" t="n">
        <f aca="false">F197*5</f>
        <v>25</v>
      </c>
      <c r="N197" s="16" t="n">
        <f aca="false">L197*M197*H197</f>
        <v>11375</v>
      </c>
      <c r="O197" s="10" t="n">
        <f aca="false">(G197-E197)+1</f>
        <v>36</v>
      </c>
      <c r="P197" s="14" t="str">
        <f aca="false">IFERROR(VLOOKUP(D197,Role_Mapping!$A$5:$D$31,4,FALSE()),"UNMAPPED")</f>
        <v>Full Stack</v>
      </c>
      <c r="Q197" s="16" t="n">
        <f aca="false">$N197*MAX(0,(MIN($G197,DATE(2026,7,31))-MAX($E197,DATE(2026,7,1))+1))/$O197</f>
        <v>9795.13888888889</v>
      </c>
      <c r="R197" s="16" t="n">
        <f aca="false">$N197*MAX(0,(MIN($G197,DATE(2026,8,31))-MAX($E197,DATE(2026,8,1))+1))/$O197</f>
        <v>947.916666666667</v>
      </c>
      <c r="S197" s="16" t="n">
        <f aca="false">$N197*MAX(0,(MIN($G197,DATE(2026,9,30))-MAX($E197,DATE(2026,9,1))+1))/$O197</f>
        <v>0</v>
      </c>
      <c r="T197" s="16" t="n">
        <f aca="false">$N197*MAX(0,(MIN($G197,DATE(2026,10,31))-MAX($E197,DATE(2026,10,1))+1))/$O197</f>
        <v>0</v>
      </c>
      <c r="U197" s="16" t="n">
        <f aca="false">$N197*MAX(0,(MIN($G197,DATE(2026,11,30))-MAX($E197,DATE(2026,11,1))+1))/$O197</f>
        <v>0</v>
      </c>
      <c r="V197" s="16" t="n">
        <f aca="false">$N197*MAX(0,(MIN($G197,DATE(2026,12,31))-MAX($E197,DATE(2026,12,1))+1))/$O197</f>
        <v>0</v>
      </c>
      <c r="W197" s="17" t="n">
        <f aca="false">$H197*MAX(0,(MIN($G197,DATE(2026,7,31))-MAX($E197,DATE(2026,7,1))+1))/30.4</f>
        <v>1.01973684210526</v>
      </c>
      <c r="X197" s="17" t="n">
        <f aca="false">$H197*MAX(0,(MIN($G197,DATE(2026,8,31))-MAX($E197,DATE(2026,8,1))+1))/30.4</f>
        <v>0.0986842105263158</v>
      </c>
      <c r="Y197" s="17" t="n">
        <f aca="false">$H197*MAX(0,(MIN($G197,DATE(2026,9,30))-MAX($E197,DATE(2026,9,1))+1))/30.4</f>
        <v>0</v>
      </c>
      <c r="Z197" s="17" t="n">
        <f aca="false">$H197*MAX(0,(MIN($G197,DATE(2026,10,31))-MAX($E197,DATE(2026,10,1))+1))/30.4</f>
        <v>0</v>
      </c>
      <c r="AA197" s="17" t="n">
        <f aca="false">$H197*MAX(0,(MIN($G197,DATE(2026,11,30))-MAX($E197,DATE(2026,11,1))+1))/30.4</f>
        <v>0</v>
      </c>
      <c r="AB197" s="17" t="n">
        <f aca="false">$H197*MAX(0,(MIN($G197,DATE(2026,12,31))-MAX($E197,DATE(2026,12,1))+1))/30.4</f>
        <v>0</v>
      </c>
    </row>
    <row r="198" customFormat="false" ht="15" hidden="false" customHeight="false" outlineLevel="0" collapsed="false">
      <c r="A198" s="10" t="n">
        <v>147</v>
      </c>
      <c r="B198" s="10" t="n">
        <v>1</v>
      </c>
      <c r="C198" s="10" t="s">
        <v>153</v>
      </c>
      <c r="D198" s="10" t="s">
        <v>62</v>
      </c>
      <c r="E198" s="12" t="n">
        <v>46209</v>
      </c>
      <c r="F198" s="10" t="n">
        <v>4</v>
      </c>
      <c r="G198" s="12" t="n">
        <v>46237</v>
      </c>
      <c r="H198" s="13" t="n">
        <v>0.125</v>
      </c>
      <c r="I198" s="10" t="s">
        <v>113</v>
      </c>
      <c r="J198" s="14" t="str">
        <f aca="false">IFERROR(VLOOKUP(D198,Role_Mapping!$A$5:$D$31,2,FALSE()),"UNMAPPED")</f>
        <v>Associate Partner</v>
      </c>
      <c r="K198" s="14" t="str">
        <f aca="false">IFERROR(VLOOKUP(D198,Role_Mapping!$A$5:$D$31,3,FALSE()),"IN")</f>
        <v>UK</v>
      </c>
      <c r="L198" s="15" t="n">
        <f aca="false">IFERROR(SUMPRODUCT((Rate_Card!$A$5:$A$34=J198)*(Rate_Card!$B$5:$B$34=K198)*Rate_Card!$C$5:$C$34),0)</f>
        <v>3526</v>
      </c>
      <c r="M198" s="10" t="n">
        <f aca="false">F198*5</f>
        <v>20</v>
      </c>
      <c r="N198" s="16" t="n">
        <f aca="false">L198*M198*H198</f>
        <v>8815</v>
      </c>
      <c r="O198" s="10" t="n">
        <f aca="false">(G198-E198)+1</f>
        <v>29</v>
      </c>
      <c r="P198" s="14" t="str">
        <f aca="false">IFERROR(VLOOKUP(D198,Role_Mapping!$A$5:$D$31,4,FALSE()),"UNMAPPED")</f>
        <v>GTM</v>
      </c>
      <c r="Q198" s="16" t="n">
        <f aca="false">$N198*MAX(0,(MIN($G198,DATE(2026,7,31))-MAX($E198,DATE(2026,7,1))+1))/$O198</f>
        <v>7903.10344827586</v>
      </c>
      <c r="R198" s="16" t="n">
        <f aca="false">$N198*MAX(0,(MIN($G198,DATE(2026,8,31))-MAX($E198,DATE(2026,8,1))+1))/$O198</f>
        <v>911.896551724138</v>
      </c>
      <c r="S198" s="16" t="n">
        <f aca="false">$N198*MAX(0,(MIN($G198,DATE(2026,9,30))-MAX($E198,DATE(2026,9,1))+1))/$O198</f>
        <v>0</v>
      </c>
      <c r="T198" s="16" t="n">
        <f aca="false">$N198*MAX(0,(MIN($G198,DATE(2026,10,31))-MAX($E198,DATE(2026,10,1))+1))/$O198</f>
        <v>0</v>
      </c>
      <c r="U198" s="16" t="n">
        <f aca="false">$N198*MAX(0,(MIN($G198,DATE(2026,11,30))-MAX($E198,DATE(2026,11,1))+1))/$O198</f>
        <v>0</v>
      </c>
      <c r="V198" s="16" t="n">
        <f aca="false">$N198*MAX(0,(MIN($G198,DATE(2026,12,31))-MAX($E198,DATE(2026,12,1))+1))/$O198</f>
        <v>0</v>
      </c>
      <c r="W198" s="17" t="n">
        <f aca="false">$H198*MAX(0,(MIN($G198,DATE(2026,7,31))-MAX($E198,DATE(2026,7,1))+1))/30.4</f>
        <v>0.106907894736842</v>
      </c>
      <c r="X198" s="17" t="n">
        <f aca="false">$H198*MAX(0,(MIN($G198,DATE(2026,8,31))-MAX($E198,DATE(2026,8,1))+1))/30.4</f>
        <v>0.0123355263157895</v>
      </c>
      <c r="Y198" s="17" t="n">
        <f aca="false">$H198*MAX(0,(MIN($G198,DATE(2026,9,30))-MAX($E198,DATE(2026,9,1))+1))/30.4</f>
        <v>0</v>
      </c>
      <c r="Z198" s="17" t="n">
        <f aca="false">$H198*MAX(0,(MIN($G198,DATE(2026,10,31))-MAX($E198,DATE(2026,10,1))+1))/30.4</f>
        <v>0</v>
      </c>
      <c r="AA198" s="17" t="n">
        <f aca="false">$H198*MAX(0,(MIN($G198,DATE(2026,11,30))-MAX($E198,DATE(2026,11,1))+1))/30.4</f>
        <v>0</v>
      </c>
      <c r="AB198" s="17" t="n">
        <f aca="false">$H198*MAX(0,(MIN($G198,DATE(2026,12,31))-MAX($E198,DATE(2026,12,1))+1))/30.4</f>
        <v>0</v>
      </c>
    </row>
    <row r="199" customFormat="false" ht="15" hidden="false" customHeight="false" outlineLevel="0" collapsed="false">
      <c r="A199" s="10" t="n">
        <v>148</v>
      </c>
      <c r="B199" s="10" t="n">
        <v>1</v>
      </c>
      <c r="C199" s="10"/>
      <c r="D199" s="10" t="s">
        <v>72</v>
      </c>
      <c r="E199" s="12" t="n">
        <v>46209</v>
      </c>
      <c r="F199" s="10" t="n">
        <v>5</v>
      </c>
      <c r="G199" s="12" t="n">
        <v>46244</v>
      </c>
      <c r="H199" s="13" t="n">
        <v>0.5</v>
      </c>
      <c r="I199" s="10" t="s">
        <v>113</v>
      </c>
      <c r="J199" s="14" t="str">
        <f aca="false">IFERROR(VLOOKUP(D199,Role_Mapping!$A$5:$D$31,2,FALSE()),"UNMAPPED")</f>
        <v>Senior Consultant</v>
      </c>
      <c r="K199" s="14" t="str">
        <f aca="false">IFERROR(VLOOKUP(D199,Role_Mapping!$A$5:$D$31,3,FALSE()),"IN")</f>
        <v>UK</v>
      </c>
      <c r="L199" s="15" t="n">
        <f aca="false">IFERROR(SUMPRODUCT((Rate_Card!$A$5:$A$34=J199)*(Rate_Card!$B$5:$B$34=K199)*Rate_Card!$C$5:$C$34),0)</f>
        <v>2798</v>
      </c>
      <c r="M199" s="10" t="n">
        <f aca="false">F199*5</f>
        <v>25</v>
      </c>
      <c r="N199" s="16" t="n">
        <f aca="false">L199*M199*H199</f>
        <v>34975</v>
      </c>
      <c r="O199" s="10" t="n">
        <f aca="false">(G199-E199)+1</f>
        <v>36</v>
      </c>
      <c r="P199" s="14" t="str">
        <f aca="false">IFERROR(VLOOKUP(D199,Role_Mapping!$A$5:$D$31,4,FALSE()),"UNMAPPED")</f>
        <v>Consulting</v>
      </c>
      <c r="Q199" s="16" t="n">
        <f aca="false">$N199*MAX(0,(MIN($G199,DATE(2026,7,31))-MAX($E199,DATE(2026,7,1))+1))/$O199</f>
        <v>25259.7222222222</v>
      </c>
      <c r="R199" s="16" t="n">
        <f aca="false">$N199*MAX(0,(MIN($G199,DATE(2026,8,31))-MAX($E199,DATE(2026,8,1))+1))/$O199</f>
        <v>9715.27777777778</v>
      </c>
      <c r="S199" s="16" t="n">
        <f aca="false">$N199*MAX(0,(MIN($G199,DATE(2026,9,30))-MAX($E199,DATE(2026,9,1))+1))/$O199</f>
        <v>0</v>
      </c>
      <c r="T199" s="16" t="n">
        <f aca="false">$N199*MAX(0,(MIN($G199,DATE(2026,10,31))-MAX($E199,DATE(2026,10,1))+1))/$O199</f>
        <v>0</v>
      </c>
      <c r="U199" s="16" t="n">
        <f aca="false">$N199*MAX(0,(MIN($G199,DATE(2026,11,30))-MAX($E199,DATE(2026,11,1))+1))/$O199</f>
        <v>0</v>
      </c>
      <c r="V199" s="16" t="n">
        <f aca="false">$N199*MAX(0,(MIN($G199,DATE(2026,12,31))-MAX($E199,DATE(2026,12,1))+1))/$O199</f>
        <v>0</v>
      </c>
      <c r="W199" s="17" t="n">
        <f aca="false">$H199*MAX(0,(MIN($G199,DATE(2026,7,31))-MAX($E199,DATE(2026,7,1))+1))/30.4</f>
        <v>0.427631578947368</v>
      </c>
      <c r="X199" s="17" t="n">
        <f aca="false">$H199*MAX(0,(MIN($G199,DATE(2026,8,31))-MAX($E199,DATE(2026,8,1))+1))/30.4</f>
        <v>0.164473684210526</v>
      </c>
      <c r="Y199" s="17" t="n">
        <f aca="false">$H199*MAX(0,(MIN($G199,DATE(2026,9,30))-MAX($E199,DATE(2026,9,1))+1))/30.4</f>
        <v>0</v>
      </c>
      <c r="Z199" s="17" t="n">
        <f aca="false">$H199*MAX(0,(MIN($G199,DATE(2026,10,31))-MAX($E199,DATE(2026,10,1))+1))/30.4</f>
        <v>0</v>
      </c>
      <c r="AA199" s="17" t="n">
        <f aca="false">$H199*MAX(0,(MIN($G199,DATE(2026,11,30))-MAX($E199,DATE(2026,11,1))+1))/30.4</f>
        <v>0</v>
      </c>
      <c r="AB199" s="17" t="n">
        <f aca="false">$H199*MAX(0,(MIN($G199,DATE(2026,12,31))-MAX($E199,DATE(2026,12,1))+1))/30.4</f>
        <v>0</v>
      </c>
    </row>
    <row r="200" customFormat="false" ht="15" hidden="false" customHeight="false" outlineLevel="0" collapsed="false">
      <c r="A200" s="10" t="n">
        <v>149</v>
      </c>
      <c r="B200" s="10" t="n">
        <v>1</v>
      </c>
      <c r="C200" s="10"/>
      <c r="D200" s="10" t="s">
        <v>67</v>
      </c>
      <c r="E200" s="12" t="n">
        <v>46209</v>
      </c>
      <c r="F200" s="10" t="n">
        <v>5</v>
      </c>
      <c r="G200" s="12" t="n">
        <v>46244</v>
      </c>
      <c r="H200" s="13" t="n">
        <v>1</v>
      </c>
      <c r="I200" s="10" t="s">
        <v>113</v>
      </c>
      <c r="J200" s="14" t="str">
        <f aca="false">IFERROR(VLOOKUP(D200,Role_Mapping!$A$5:$D$31,2,FALSE()),"UNMAPPED")</f>
        <v>Senior Associate Consultant</v>
      </c>
      <c r="K200" s="14" t="str">
        <f aca="false">IFERROR(VLOOKUP(D200,Role_Mapping!$A$5:$D$31,3,FALSE()),"IN")</f>
        <v>IN</v>
      </c>
      <c r="L200" s="15" t="n">
        <f aca="false">IFERROR(SUMPRODUCT((Rate_Card!$A$5:$A$34=J200)*(Rate_Card!$B$5:$B$34=K200)*Rate_Card!$C$5:$C$34),0)</f>
        <v>683</v>
      </c>
      <c r="M200" s="10" t="n">
        <f aca="false">F200*5</f>
        <v>25</v>
      </c>
      <c r="N200" s="16" t="n">
        <f aca="false">L200*M200*H200</f>
        <v>17075</v>
      </c>
      <c r="O200" s="10" t="n">
        <f aca="false">(G200-E200)+1</f>
        <v>36</v>
      </c>
      <c r="P200" s="14" t="str">
        <f aca="false">IFERROR(VLOOKUP(D200,Role_Mapping!$A$5:$D$31,4,FALSE()),"UNMAPPED")</f>
        <v>Consulting</v>
      </c>
      <c r="Q200" s="16" t="n">
        <f aca="false">$N200*MAX(0,(MIN($G200,DATE(2026,7,31))-MAX($E200,DATE(2026,7,1))+1))/$O200</f>
        <v>12331.9444444444</v>
      </c>
      <c r="R200" s="16" t="n">
        <f aca="false">$N200*MAX(0,(MIN($G200,DATE(2026,8,31))-MAX($E200,DATE(2026,8,1))+1))/$O200</f>
        <v>4743.05555555556</v>
      </c>
      <c r="S200" s="16" t="n">
        <f aca="false">$N200*MAX(0,(MIN($G200,DATE(2026,9,30))-MAX($E200,DATE(2026,9,1))+1))/$O200</f>
        <v>0</v>
      </c>
      <c r="T200" s="16" t="n">
        <f aca="false">$N200*MAX(0,(MIN($G200,DATE(2026,10,31))-MAX($E200,DATE(2026,10,1))+1))/$O200</f>
        <v>0</v>
      </c>
      <c r="U200" s="16" t="n">
        <f aca="false">$N200*MAX(0,(MIN($G200,DATE(2026,11,30))-MAX($E200,DATE(2026,11,1))+1))/$O200</f>
        <v>0</v>
      </c>
      <c r="V200" s="16" t="n">
        <f aca="false">$N200*MAX(0,(MIN($G200,DATE(2026,12,31))-MAX($E200,DATE(2026,12,1))+1))/$O200</f>
        <v>0</v>
      </c>
      <c r="W200" s="17" t="n">
        <f aca="false">$H200*MAX(0,(MIN($G200,DATE(2026,7,31))-MAX($E200,DATE(2026,7,1))+1))/30.4</f>
        <v>0.855263157894737</v>
      </c>
      <c r="X200" s="17" t="n">
        <f aca="false">$H200*MAX(0,(MIN($G200,DATE(2026,8,31))-MAX($E200,DATE(2026,8,1))+1))/30.4</f>
        <v>0.328947368421053</v>
      </c>
      <c r="Y200" s="17" t="n">
        <f aca="false">$H200*MAX(0,(MIN($G200,DATE(2026,9,30))-MAX($E200,DATE(2026,9,1))+1))/30.4</f>
        <v>0</v>
      </c>
      <c r="Z200" s="17" t="n">
        <f aca="false">$H200*MAX(0,(MIN($G200,DATE(2026,10,31))-MAX($E200,DATE(2026,10,1))+1))/30.4</f>
        <v>0</v>
      </c>
      <c r="AA200" s="17" t="n">
        <f aca="false">$H200*MAX(0,(MIN($G200,DATE(2026,11,30))-MAX($E200,DATE(2026,11,1))+1))/30.4</f>
        <v>0</v>
      </c>
      <c r="AB200" s="17" t="n">
        <f aca="false">$H200*MAX(0,(MIN($G200,DATE(2026,12,31))-MAX($E200,DATE(2026,12,1))+1))/30.4</f>
        <v>0</v>
      </c>
    </row>
    <row r="201" customFormat="false" ht="15" hidden="false" customHeight="false" outlineLevel="0" collapsed="false">
      <c r="A201" s="10" t="n">
        <v>150</v>
      </c>
      <c r="B201" s="10" t="n">
        <v>1</v>
      </c>
      <c r="C201" s="10"/>
      <c r="D201" s="10" t="s">
        <v>64</v>
      </c>
      <c r="E201" s="12" t="n">
        <v>46209</v>
      </c>
      <c r="F201" s="10" t="n">
        <v>5</v>
      </c>
      <c r="G201" s="12" t="n">
        <v>46244</v>
      </c>
      <c r="H201" s="13" t="n">
        <v>0.25</v>
      </c>
      <c r="I201" s="10" t="s">
        <v>113</v>
      </c>
      <c r="J201" s="14" t="str">
        <f aca="false">IFERROR(VLOOKUP(D201,Role_Mapping!$A$5:$D$31,2,FALSE()),"UNMAPPED")</f>
        <v>Principal Technology Architect</v>
      </c>
      <c r="K201" s="14" t="str">
        <f aca="false">IFERROR(VLOOKUP(D201,Role_Mapping!$A$5:$D$31,3,FALSE()),"IN")</f>
        <v>IN</v>
      </c>
      <c r="L201" s="15" t="n">
        <f aca="false">IFERROR(SUMPRODUCT((Rate_Card!$A$5:$A$34=J201)*(Rate_Card!$B$5:$B$34=K201)*Rate_Card!$C$5:$C$34),0)</f>
        <v>845</v>
      </c>
      <c r="M201" s="10" t="n">
        <f aca="false">F201*5</f>
        <v>25</v>
      </c>
      <c r="N201" s="16" t="n">
        <f aca="false">L201*M201*H201</f>
        <v>5281.25</v>
      </c>
      <c r="O201" s="10" t="n">
        <f aca="false">(G201-E201)+1</f>
        <v>36</v>
      </c>
      <c r="P201" s="14" t="str">
        <f aca="false">IFERROR(VLOOKUP(D201,Role_Mapping!$A$5:$D$31,4,FALSE()),"UNMAPPED")</f>
        <v>Full Stack</v>
      </c>
      <c r="Q201" s="16" t="n">
        <f aca="false">$N201*MAX(0,(MIN($G201,DATE(2026,7,31))-MAX($E201,DATE(2026,7,1))+1))/$O201</f>
        <v>3814.23611111111</v>
      </c>
      <c r="R201" s="16" t="n">
        <f aca="false">$N201*MAX(0,(MIN($G201,DATE(2026,8,31))-MAX($E201,DATE(2026,8,1))+1))/$O201</f>
        <v>1467.01388888889</v>
      </c>
      <c r="S201" s="16" t="n">
        <f aca="false">$N201*MAX(0,(MIN($G201,DATE(2026,9,30))-MAX($E201,DATE(2026,9,1))+1))/$O201</f>
        <v>0</v>
      </c>
      <c r="T201" s="16" t="n">
        <f aca="false">$N201*MAX(0,(MIN($G201,DATE(2026,10,31))-MAX($E201,DATE(2026,10,1))+1))/$O201</f>
        <v>0</v>
      </c>
      <c r="U201" s="16" t="n">
        <f aca="false">$N201*MAX(0,(MIN($G201,DATE(2026,11,30))-MAX($E201,DATE(2026,11,1))+1))/$O201</f>
        <v>0</v>
      </c>
      <c r="V201" s="16" t="n">
        <f aca="false">$N201*MAX(0,(MIN($G201,DATE(2026,12,31))-MAX($E201,DATE(2026,12,1))+1))/$O201</f>
        <v>0</v>
      </c>
      <c r="W201" s="17" t="n">
        <f aca="false">$H201*MAX(0,(MIN($G201,DATE(2026,7,31))-MAX($E201,DATE(2026,7,1))+1))/30.4</f>
        <v>0.213815789473684</v>
      </c>
      <c r="X201" s="17" t="n">
        <f aca="false">$H201*MAX(0,(MIN($G201,DATE(2026,8,31))-MAX($E201,DATE(2026,8,1))+1))/30.4</f>
        <v>0.0822368421052632</v>
      </c>
      <c r="Y201" s="17" t="n">
        <f aca="false">$H201*MAX(0,(MIN($G201,DATE(2026,9,30))-MAX($E201,DATE(2026,9,1))+1))/30.4</f>
        <v>0</v>
      </c>
      <c r="Z201" s="17" t="n">
        <f aca="false">$H201*MAX(0,(MIN($G201,DATE(2026,10,31))-MAX($E201,DATE(2026,10,1))+1))/30.4</f>
        <v>0</v>
      </c>
      <c r="AA201" s="17" t="n">
        <f aca="false">$H201*MAX(0,(MIN($G201,DATE(2026,11,30))-MAX($E201,DATE(2026,11,1))+1))/30.4</f>
        <v>0</v>
      </c>
      <c r="AB201" s="17" t="n">
        <f aca="false">$H201*MAX(0,(MIN($G201,DATE(2026,12,31))-MAX($E201,DATE(2026,12,1))+1))/30.4</f>
        <v>0</v>
      </c>
    </row>
    <row r="202" customFormat="false" ht="15" hidden="false" customHeight="false" outlineLevel="0" collapsed="false">
      <c r="A202" s="10" t="n">
        <v>151</v>
      </c>
      <c r="B202" s="10" t="n">
        <v>1</v>
      </c>
      <c r="C202" s="10"/>
      <c r="D202" s="10" t="s">
        <v>80</v>
      </c>
      <c r="E202" s="12" t="n">
        <v>46209</v>
      </c>
      <c r="F202" s="10" t="n">
        <v>5</v>
      </c>
      <c r="G202" s="12" t="n">
        <v>46244</v>
      </c>
      <c r="H202" s="13" t="n">
        <v>1</v>
      </c>
      <c r="I202" s="10" t="s">
        <v>113</v>
      </c>
      <c r="J202" s="14" t="str">
        <f aca="false">IFERROR(VLOOKUP(D202,Role_Mapping!$A$5:$D$31,2,FALSE()),"UNMAPPED")</f>
        <v>Solutions Consultant</v>
      </c>
      <c r="K202" s="14" t="str">
        <f aca="false">IFERROR(VLOOKUP(D202,Role_Mapping!$A$5:$D$31,3,FALSE()),"IN")</f>
        <v>IN</v>
      </c>
      <c r="L202" s="15" t="n">
        <f aca="false">IFERROR(SUMPRODUCT((Rate_Card!$A$5:$A$34=J202)*(Rate_Card!$B$5:$B$34=K202)*Rate_Card!$C$5:$C$34),0)</f>
        <v>683</v>
      </c>
      <c r="M202" s="10" t="n">
        <f aca="false">F202*5</f>
        <v>25</v>
      </c>
      <c r="N202" s="16" t="n">
        <f aca="false">L202*M202*H202</f>
        <v>17075</v>
      </c>
      <c r="O202" s="10" t="n">
        <f aca="false">(G202-E202)+1</f>
        <v>36</v>
      </c>
      <c r="P202" s="14" t="str">
        <f aca="false">IFERROR(VLOOKUP(D202,Role_Mapping!$A$5:$D$31,4,FALSE()),"UNMAPPED")</f>
        <v>Power BI &amp; Consulting</v>
      </c>
      <c r="Q202" s="16" t="n">
        <f aca="false">$N202*MAX(0,(MIN($G202,DATE(2026,7,31))-MAX($E202,DATE(2026,7,1))+1))/$O202</f>
        <v>12331.9444444444</v>
      </c>
      <c r="R202" s="16" t="n">
        <f aca="false">$N202*MAX(0,(MIN($G202,DATE(2026,8,31))-MAX($E202,DATE(2026,8,1))+1))/$O202</f>
        <v>4743.05555555556</v>
      </c>
      <c r="S202" s="16" t="n">
        <f aca="false">$N202*MAX(0,(MIN($G202,DATE(2026,9,30))-MAX($E202,DATE(2026,9,1))+1))/$O202</f>
        <v>0</v>
      </c>
      <c r="T202" s="16" t="n">
        <f aca="false">$N202*MAX(0,(MIN($G202,DATE(2026,10,31))-MAX($E202,DATE(2026,10,1))+1))/$O202</f>
        <v>0</v>
      </c>
      <c r="U202" s="16" t="n">
        <f aca="false">$N202*MAX(0,(MIN($G202,DATE(2026,11,30))-MAX($E202,DATE(2026,11,1))+1))/$O202</f>
        <v>0</v>
      </c>
      <c r="V202" s="16" t="n">
        <f aca="false">$N202*MAX(0,(MIN($G202,DATE(2026,12,31))-MAX($E202,DATE(2026,12,1))+1))/$O202</f>
        <v>0</v>
      </c>
      <c r="W202" s="17" t="n">
        <f aca="false">$H202*MAX(0,(MIN($G202,DATE(2026,7,31))-MAX($E202,DATE(2026,7,1))+1))/30.4</f>
        <v>0.855263157894737</v>
      </c>
      <c r="X202" s="17" t="n">
        <f aca="false">$H202*MAX(0,(MIN($G202,DATE(2026,8,31))-MAX($E202,DATE(2026,8,1))+1))/30.4</f>
        <v>0.328947368421053</v>
      </c>
      <c r="Y202" s="17" t="n">
        <f aca="false">$H202*MAX(0,(MIN($G202,DATE(2026,9,30))-MAX($E202,DATE(2026,9,1))+1))/30.4</f>
        <v>0</v>
      </c>
      <c r="Z202" s="17" t="n">
        <f aca="false">$H202*MAX(0,(MIN($G202,DATE(2026,10,31))-MAX($E202,DATE(2026,10,1))+1))/30.4</f>
        <v>0</v>
      </c>
      <c r="AA202" s="17" t="n">
        <f aca="false">$H202*MAX(0,(MIN($G202,DATE(2026,11,30))-MAX($E202,DATE(2026,11,1))+1))/30.4</f>
        <v>0</v>
      </c>
      <c r="AB202" s="17" t="n">
        <f aca="false">$H202*MAX(0,(MIN($G202,DATE(2026,12,31))-MAX($E202,DATE(2026,12,1))+1))/30.4</f>
        <v>0</v>
      </c>
    </row>
    <row r="203" customFormat="false" ht="15" hidden="false" customHeight="false" outlineLevel="0" collapsed="false">
      <c r="A203" s="10" t="n">
        <v>152</v>
      </c>
      <c r="B203" s="10" t="n">
        <v>1</v>
      </c>
      <c r="C203" s="10"/>
      <c r="D203" s="10" t="s">
        <v>76</v>
      </c>
      <c r="E203" s="12" t="n">
        <v>46209</v>
      </c>
      <c r="F203" s="10" t="n">
        <v>5</v>
      </c>
      <c r="G203" s="12" t="n">
        <v>46244</v>
      </c>
      <c r="H203" s="13" t="n">
        <v>1</v>
      </c>
      <c r="I203" s="10" t="s">
        <v>113</v>
      </c>
      <c r="J203" s="14" t="str">
        <f aca="false">IFERROR(VLOOKUP(D203,Role_Mapping!$A$5:$D$31,2,FALSE()),"UNMAPPED")</f>
        <v>Senior Software Engineer</v>
      </c>
      <c r="K203" s="14" t="str">
        <f aca="false">IFERROR(VLOOKUP(D203,Role_Mapping!$A$5:$D$31,3,FALSE()),"IN")</f>
        <v>IN</v>
      </c>
      <c r="L203" s="15" t="n">
        <f aca="false">IFERROR(SUMPRODUCT((Rate_Card!$A$5:$A$34=J203)*(Rate_Card!$B$5:$B$34=K203)*Rate_Card!$C$5:$C$34),0)</f>
        <v>585</v>
      </c>
      <c r="M203" s="10" t="n">
        <f aca="false">F203*5</f>
        <v>25</v>
      </c>
      <c r="N203" s="16" t="n">
        <f aca="false">L203*M203*H203</f>
        <v>14625</v>
      </c>
      <c r="O203" s="10" t="n">
        <f aca="false">(G203-E203)+1</f>
        <v>36</v>
      </c>
      <c r="P203" s="14" t="str">
        <f aca="false">IFERROR(VLOOKUP(D203,Role_Mapping!$A$5:$D$31,4,FALSE()),"UNMAPPED")</f>
        <v>Full Stack</v>
      </c>
      <c r="Q203" s="16" t="n">
        <f aca="false">$N203*MAX(0,(MIN($G203,DATE(2026,7,31))-MAX($E203,DATE(2026,7,1))+1))/$O203</f>
        <v>10562.5</v>
      </c>
      <c r="R203" s="16" t="n">
        <f aca="false">$N203*MAX(0,(MIN($G203,DATE(2026,8,31))-MAX($E203,DATE(2026,8,1))+1))/$O203</f>
        <v>4062.5</v>
      </c>
      <c r="S203" s="16" t="n">
        <f aca="false">$N203*MAX(0,(MIN($G203,DATE(2026,9,30))-MAX($E203,DATE(2026,9,1))+1))/$O203</f>
        <v>0</v>
      </c>
      <c r="T203" s="16" t="n">
        <f aca="false">$N203*MAX(0,(MIN($G203,DATE(2026,10,31))-MAX($E203,DATE(2026,10,1))+1))/$O203</f>
        <v>0</v>
      </c>
      <c r="U203" s="16" t="n">
        <f aca="false">$N203*MAX(0,(MIN($G203,DATE(2026,11,30))-MAX($E203,DATE(2026,11,1))+1))/$O203</f>
        <v>0</v>
      </c>
      <c r="V203" s="16" t="n">
        <f aca="false">$N203*MAX(0,(MIN($G203,DATE(2026,12,31))-MAX($E203,DATE(2026,12,1))+1))/$O203</f>
        <v>0</v>
      </c>
      <c r="W203" s="17" t="n">
        <f aca="false">$H203*MAX(0,(MIN($G203,DATE(2026,7,31))-MAX($E203,DATE(2026,7,1))+1))/30.4</f>
        <v>0.855263157894737</v>
      </c>
      <c r="X203" s="17" t="n">
        <f aca="false">$H203*MAX(0,(MIN($G203,DATE(2026,8,31))-MAX($E203,DATE(2026,8,1))+1))/30.4</f>
        <v>0.328947368421053</v>
      </c>
      <c r="Y203" s="17" t="n">
        <f aca="false">$H203*MAX(0,(MIN($G203,DATE(2026,9,30))-MAX($E203,DATE(2026,9,1))+1))/30.4</f>
        <v>0</v>
      </c>
      <c r="Z203" s="17" t="n">
        <f aca="false">$H203*MAX(0,(MIN($G203,DATE(2026,10,31))-MAX($E203,DATE(2026,10,1))+1))/30.4</f>
        <v>0</v>
      </c>
      <c r="AA203" s="17" t="n">
        <f aca="false">$H203*MAX(0,(MIN($G203,DATE(2026,11,30))-MAX($E203,DATE(2026,11,1))+1))/30.4</f>
        <v>0</v>
      </c>
      <c r="AB203" s="17" t="n">
        <f aca="false">$H203*MAX(0,(MIN($G203,DATE(2026,12,31))-MAX($E203,DATE(2026,12,1))+1))/30.4</f>
        <v>0</v>
      </c>
    </row>
    <row r="204" customFormat="false" ht="15" hidden="false" customHeight="false" outlineLevel="0" collapsed="false">
      <c r="A204" s="10" t="n">
        <v>153</v>
      </c>
      <c r="B204" s="10" t="n">
        <v>1</v>
      </c>
      <c r="C204" s="10"/>
      <c r="D204" s="10" t="s">
        <v>75</v>
      </c>
      <c r="E204" s="12" t="n">
        <v>46209</v>
      </c>
      <c r="F204" s="10" t="n">
        <v>5</v>
      </c>
      <c r="G204" s="12" t="n">
        <v>46244</v>
      </c>
      <c r="H204" s="13" t="n">
        <v>1</v>
      </c>
      <c r="I204" s="10" t="s">
        <v>113</v>
      </c>
      <c r="J204" s="14" t="str">
        <f aca="false">IFERROR(VLOOKUP(D204,Role_Mapping!$A$5:$D$31,2,FALSE()),"UNMAPPED")</f>
        <v>Software Engineer</v>
      </c>
      <c r="K204" s="14" t="str">
        <f aca="false">IFERROR(VLOOKUP(D204,Role_Mapping!$A$5:$D$31,3,FALSE()),"IN")</f>
        <v>IN</v>
      </c>
      <c r="L204" s="15" t="n">
        <f aca="false">IFERROR(SUMPRODUCT((Rate_Card!$A$5:$A$34=J204)*(Rate_Card!$B$5:$B$34=K204)*Rate_Card!$C$5:$C$34),0)</f>
        <v>455</v>
      </c>
      <c r="M204" s="10" t="n">
        <f aca="false">F204*5</f>
        <v>25</v>
      </c>
      <c r="N204" s="16" t="n">
        <f aca="false">L204*M204*H204</f>
        <v>11375</v>
      </c>
      <c r="O204" s="10" t="n">
        <f aca="false">(G204-E204)+1</f>
        <v>36</v>
      </c>
      <c r="P204" s="14" t="str">
        <f aca="false">IFERROR(VLOOKUP(D204,Role_Mapping!$A$5:$D$31,4,FALSE()),"UNMAPPED")</f>
        <v>Full Stack</v>
      </c>
      <c r="Q204" s="16" t="n">
        <f aca="false">$N204*MAX(0,(MIN($G204,DATE(2026,7,31))-MAX($E204,DATE(2026,7,1))+1))/$O204</f>
        <v>8215.27777777778</v>
      </c>
      <c r="R204" s="16" t="n">
        <f aca="false">$N204*MAX(0,(MIN($G204,DATE(2026,8,31))-MAX($E204,DATE(2026,8,1))+1))/$O204</f>
        <v>3159.72222222222</v>
      </c>
      <c r="S204" s="16" t="n">
        <f aca="false">$N204*MAX(0,(MIN($G204,DATE(2026,9,30))-MAX($E204,DATE(2026,9,1))+1))/$O204</f>
        <v>0</v>
      </c>
      <c r="T204" s="16" t="n">
        <f aca="false">$N204*MAX(0,(MIN($G204,DATE(2026,10,31))-MAX($E204,DATE(2026,10,1))+1))/$O204</f>
        <v>0</v>
      </c>
      <c r="U204" s="16" t="n">
        <f aca="false">$N204*MAX(0,(MIN($G204,DATE(2026,11,30))-MAX($E204,DATE(2026,11,1))+1))/$O204</f>
        <v>0</v>
      </c>
      <c r="V204" s="16" t="n">
        <f aca="false">$N204*MAX(0,(MIN($G204,DATE(2026,12,31))-MAX($E204,DATE(2026,12,1))+1))/$O204</f>
        <v>0</v>
      </c>
      <c r="W204" s="17" t="n">
        <f aca="false">$H204*MAX(0,(MIN($G204,DATE(2026,7,31))-MAX($E204,DATE(2026,7,1))+1))/30.4</f>
        <v>0.855263157894737</v>
      </c>
      <c r="X204" s="17" t="n">
        <f aca="false">$H204*MAX(0,(MIN($G204,DATE(2026,8,31))-MAX($E204,DATE(2026,8,1))+1))/30.4</f>
        <v>0.328947368421053</v>
      </c>
      <c r="Y204" s="17" t="n">
        <f aca="false">$H204*MAX(0,(MIN($G204,DATE(2026,9,30))-MAX($E204,DATE(2026,9,1))+1))/30.4</f>
        <v>0</v>
      </c>
      <c r="Z204" s="17" t="n">
        <f aca="false">$H204*MAX(0,(MIN($G204,DATE(2026,10,31))-MAX($E204,DATE(2026,10,1))+1))/30.4</f>
        <v>0</v>
      </c>
      <c r="AA204" s="17" t="n">
        <f aca="false">$H204*MAX(0,(MIN($G204,DATE(2026,11,30))-MAX($E204,DATE(2026,11,1))+1))/30.4</f>
        <v>0</v>
      </c>
      <c r="AB204" s="17" t="n">
        <f aca="false">$H204*MAX(0,(MIN($G204,DATE(2026,12,31))-MAX($E204,DATE(2026,12,1))+1))/30.4</f>
        <v>0</v>
      </c>
    </row>
    <row r="205" customFormat="false" ht="15" hidden="false" customHeight="false" outlineLevel="0" collapsed="false">
      <c r="A205" s="10" t="n">
        <v>154</v>
      </c>
      <c r="B205" s="10" t="n">
        <v>3</v>
      </c>
      <c r="C205" s="10" t="s">
        <v>154</v>
      </c>
      <c r="D205" s="10" t="s">
        <v>45</v>
      </c>
      <c r="E205" s="12" t="n">
        <v>46195</v>
      </c>
      <c r="F205" s="10" t="n">
        <v>5</v>
      </c>
      <c r="G205" s="12" t="n">
        <v>46230</v>
      </c>
      <c r="H205" s="13" t="n">
        <v>1</v>
      </c>
      <c r="I205" s="10" t="s">
        <v>113</v>
      </c>
      <c r="J205" s="14" t="str">
        <f aca="false">IFERROR(VLOOKUP(D205,Role_Mapping!$A$5:$D$31,2,FALSE()),"UNMAPPED")</f>
        <v>Associate Consultant</v>
      </c>
      <c r="K205" s="14" t="str">
        <f aca="false">IFERROR(VLOOKUP(D205,Role_Mapping!$A$5:$D$31,3,FALSE()),"IN")</f>
        <v>IN</v>
      </c>
      <c r="L205" s="15" t="n">
        <f aca="false">IFERROR(SUMPRODUCT((Rate_Card!$A$5:$A$34=J205)*(Rate_Card!$B$5:$B$34=K205)*Rate_Card!$C$5:$C$34),0)</f>
        <v>585</v>
      </c>
      <c r="M205" s="10" t="n">
        <f aca="false">F205*5</f>
        <v>25</v>
      </c>
      <c r="N205" s="16" t="n">
        <f aca="false">L205*M205*H205</f>
        <v>14625</v>
      </c>
      <c r="O205" s="10" t="n">
        <f aca="false">(G205-E205)+1</f>
        <v>36</v>
      </c>
      <c r="P205" s="14" t="str">
        <f aca="false">IFERROR(VLOOKUP(D205,Role_Mapping!$A$5:$D$31,4,FALSE()),"UNMAPPED")</f>
        <v>Consulting</v>
      </c>
      <c r="Q205" s="16" t="n">
        <f aca="false">$N205*MAX(0,(MIN($G205,DATE(2026,7,31))-MAX($E205,DATE(2026,7,1))+1))/$O205</f>
        <v>10968.75</v>
      </c>
      <c r="R205" s="16" t="n">
        <f aca="false">$N205*MAX(0,(MIN($G205,DATE(2026,8,31))-MAX($E205,DATE(2026,8,1))+1))/$O205</f>
        <v>0</v>
      </c>
      <c r="S205" s="16" t="n">
        <f aca="false">$N205*MAX(0,(MIN($G205,DATE(2026,9,30))-MAX($E205,DATE(2026,9,1))+1))/$O205</f>
        <v>0</v>
      </c>
      <c r="T205" s="16" t="n">
        <f aca="false">$N205*MAX(0,(MIN($G205,DATE(2026,10,31))-MAX($E205,DATE(2026,10,1))+1))/$O205</f>
        <v>0</v>
      </c>
      <c r="U205" s="16" t="n">
        <f aca="false">$N205*MAX(0,(MIN($G205,DATE(2026,11,30))-MAX($E205,DATE(2026,11,1))+1))/$O205</f>
        <v>0</v>
      </c>
      <c r="V205" s="16" t="n">
        <f aca="false">$N205*MAX(0,(MIN($G205,DATE(2026,12,31))-MAX($E205,DATE(2026,12,1))+1))/$O205</f>
        <v>0</v>
      </c>
      <c r="W205" s="17" t="n">
        <f aca="false">$H205*MAX(0,(MIN($G205,DATE(2026,7,31))-MAX($E205,DATE(2026,7,1))+1))/30.4</f>
        <v>0.888157894736842</v>
      </c>
      <c r="X205" s="17" t="n">
        <f aca="false">$H205*MAX(0,(MIN($G205,DATE(2026,8,31))-MAX($E205,DATE(2026,8,1))+1))/30.4</f>
        <v>0</v>
      </c>
      <c r="Y205" s="17" t="n">
        <f aca="false">$H205*MAX(0,(MIN($G205,DATE(2026,9,30))-MAX($E205,DATE(2026,9,1))+1))/30.4</f>
        <v>0</v>
      </c>
      <c r="Z205" s="17" t="n">
        <f aca="false">$H205*MAX(0,(MIN($G205,DATE(2026,10,31))-MAX($E205,DATE(2026,10,1))+1))/30.4</f>
        <v>0</v>
      </c>
      <c r="AA205" s="17" t="n">
        <f aca="false">$H205*MAX(0,(MIN($G205,DATE(2026,11,30))-MAX($E205,DATE(2026,11,1))+1))/30.4</f>
        <v>0</v>
      </c>
      <c r="AB205" s="17" t="n">
        <f aca="false">$H205*MAX(0,(MIN($G205,DATE(2026,12,31))-MAX($E205,DATE(2026,12,1))+1))/30.4</f>
        <v>0</v>
      </c>
    </row>
    <row r="206" customFormat="false" ht="15" hidden="false" customHeight="false" outlineLevel="0" collapsed="false">
      <c r="A206" s="10" t="n">
        <v>155</v>
      </c>
      <c r="B206" s="10" t="n">
        <v>2</v>
      </c>
      <c r="C206" s="10" t="s">
        <v>155</v>
      </c>
      <c r="D206" s="10" t="s">
        <v>76</v>
      </c>
      <c r="E206" s="12" t="n">
        <v>46195</v>
      </c>
      <c r="F206" s="10" t="n">
        <v>2</v>
      </c>
      <c r="G206" s="12" t="n">
        <v>46209</v>
      </c>
      <c r="H206" s="13" t="n">
        <v>1</v>
      </c>
      <c r="I206" s="10" t="s">
        <v>113</v>
      </c>
      <c r="J206" s="14" t="str">
        <f aca="false">IFERROR(VLOOKUP(D206,Role_Mapping!$A$5:$D$31,2,FALSE()),"UNMAPPED")</f>
        <v>Senior Software Engineer</v>
      </c>
      <c r="K206" s="14" t="str">
        <f aca="false">IFERROR(VLOOKUP(D206,Role_Mapping!$A$5:$D$31,3,FALSE()),"IN")</f>
        <v>IN</v>
      </c>
      <c r="L206" s="15" t="n">
        <f aca="false">IFERROR(SUMPRODUCT((Rate_Card!$A$5:$A$34=J206)*(Rate_Card!$B$5:$B$34=K206)*Rate_Card!$C$5:$C$34),0)</f>
        <v>585</v>
      </c>
      <c r="M206" s="10" t="n">
        <f aca="false">F206*5</f>
        <v>10</v>
      </c>
      <c r="N206" s="16" t="n">
        <f aca="false">L206*M206*H206</f>
        <v>5850</v>
      </c>
      <c r="O206" s="10" t="n">
        <f aca="false">(G206-E206)+1</f>
        <v>15</v>
      </c>
      <c r="P206" s="14" t="str">
        <f aca="false">IFERROR(VLOOKUP(D206,Role_Mapping!$A$5:$D$31,4,FALSE()),"UNMAPPED")</f>
        <v>Full Stack</v>
      </c>
      <c r="Q206" s="16" t="n">
        <f aca="false">$N206*MAX(0,(MIN($G206,DATE(2026,7,31))-MAX($E206,DATE(2026,7,1))+1))/$O206</f>
        <v>2340</v>
      </c>
      <c r="R206" s="16" t="n">
        <f aca="false">$N206*MAX(0,(MIN($G206,DATE(2026,8,31))-MAX($E206,DATE(2026,8,1))+1))/$O206</f>
        <v>0</v>
      </c>
      <c r="S206" s="16" t="n">
        <f aca="false">$N206*MAX(0,(MIN($G206,DATE(2026,9,30))-MAX($E206,DATE(2026,9,1))+1))/$O206</f>
        <v>0</v>
      </c>
      <c r="T206" s="16" t="n">
        <f aca="false">$N206*MAX(0,(MIN($G206,DATE(2026,10,31))-MAX($E206,DATE(2026,10,1))+1))/$O206</f>
        <v>0</v>
      </c>
      <c r="U206" s="16" t="n">
        <f aca="false">$N206*MAX(0,(MIN($G206,DATE(2026,11,30))-MAX($E206,DATE(2026,11,1))+1))/$O206</f>
        <v>0</v>
      </c>
      <c r="V206" s="16" t="n">
        <f aca="false">$N206*MAX(0,(MIN($G206,DATE(2026,12,31))-MAX($E206,DATE(2026,12,1))+1))/$O206</f>
        <v>0</v>
      </c>
      <c r="W206" s="17" t="n">
        <f aca="false">$H206*MAX(0,(MIN($G206,DATE(2026,7,31))-MAX($E206,DATE(2026,7,1))+1))/30.4</f>
        <v>0.197368421052632</v>
      </c>
      <c r="X206" s="17" t="n">
        <f aca="false">$H206*MAX(0,(MIN($G206,DATE(2026,8,31))-MAX($E206,DATE(2026,8,1))+1))/30.4</f>
        <v>0</v>
      </c>
      <c r="Y206" s="17" t="n">
        <f aca="false">$H206*MAX(0,(MIN($G206,DATE(2026,9,30))-MAX($E206,DATE(2026,9,1))+1))/30.4</f>
        <v>0</v>
      </c>
      <c r="Z206" s="17" t="n">
        <f aca="false">$H206*MAX(0,(MIN($G206,DATE(2026,10,31))-MAX($E206,DATE(2026,10,1))+1))/30.4</f>
        <v>0</v>
      </c>
      <c r="AA206" s="17" t="n">
        <f aca="false">$H206*MAX(0,(MIN($G206,DATE(2026,11,30))-MAX($E206,DATE(2026,11,1))+1))/30.4</f>
        <v>0</v>
      </c>
      <c r="AB206" s="17" t="n">
        <f aca="false">$H206*MAX(0,(MIN($G206,DATE(2026,12,31))-MAX($E206,DATE(2026,12,1))+1))/30.4</f>
        <v>0</v>
      </c>
    </row>
    <row r="207" customFormat="false" ht="15" hidden="false" customHeight="false" outlineLevel="0" collapsed="false">
      <c r="A207" s="10" t="n">
        <v>156</v>
      </c>
      <c r="B207" s="10" t="n">
        <v>2</v>
      </c>
      <c r="C207" s="10"/>
      <c r="D207" s="10" t="s">
        <v>58</v>
      </c>
      <c r="E207" s="12" t="n">
        <v>46202</v>
      </c>
      <c r="F207" s="10" t="n">
        <v>8</v>
      </c>
      <c r="G207" s="12" t="n">
        <v>46258</v>
      </c>
      <c r="H207" s="13" t="n">
        <v>1</v>
      </c>
      <c r="I207" s="10" t="s">
        <v>113</v>
      </c>
      <c r="J207" s="14" t="str">
        <f aca="false">IFERROR(VLOOKUP(D207,Role_Mapping!$A$5:$D$31,2,FALSE()),"UNMAPPED")</f>
        <v>Solutions Enabler</v>
      </c>
      <c r="K207" s="14" t="str">
        <f aca="false">IFERROR(VLOOKUP(D207,Role_Mapping!$A$5:$D$31,3,FALSE()),"IN")</f>
        <v>IN</v>
      </c>
      <c r="L207" s="15" t="n">
        <f aca="false">IFERROR(SUMPRODUCT((Rate_Card!$A$5:$A$34=J207)*(Rate_Card!$B$5:$B$34=K207)*Rate_Card!$C$5:$C$34),0)</f>
        <v>683</v>
      </c>
      <c r="M207" s="10" t="n">
        <f aca="false">F207*5</f>
        <v>40</v>
      </c>
      <c r="N207" s="16" t="n">
        <f aca="false">L207*M207*H207</f>
        <v>27320</v>
      </c>
      <c r="O207" s="10" t="n">
        <f aca="false">(G207-E207)+1</f>
        <v>57</v>
      </c>
      <c r="P207" s="14" t="str">
        <f aca="false">IFERROR(VLOOKUP(D207,Role_Mapping!$A$5:$D$31,4,FALSE()),"UNMAPPED")</f>
        <v>Data Engineering</v>
      </c>
      <c r="Q207" s="16" t="n">
        <f aca="false">$N207*MAX(0,(MIN($G207,DATE(2026,7,31))-MAX($E207,DATE(2026,7,1))+1))/$O207</f>
        <v>14858.2456140351</v>
      </c>
      <c r="R207" s="16" t="n">
        <f aca="false">$N207*MAX(0,(MIN($G207,DATE(2026,8,31))-MAX($E207,DATE(2026,8,1))+1))/$O207</f>
        <v>11503.1578947368</v>
      </c>
      <c r="S207" s="16" t="n">
        <f aca="false">$N207*MAX(0,(MIN($G207,DATE(2026,9,30))-MAX($E207,DATE(2026,9,1))+1))/$O207</f>
        <v>0</v>
      </c>
      <c r="T207" s="16" t="n">
        <f aca="false">$N207*MAX(0,(MIN($G207,DATE(2026,10,31))-MAX($E207,DATE(2026,10,1))+1))/$O207</f>
        <v>0</v>
      </c>
      <c r="U207" s="16" t="n">
        <f aca="false">$N207*MAX(0,(MIN($G207,DATE(2026,11,30))-MAX($E207,DATE(2026,11,1))+1))/$O207</f>
        <v>0</v>
      </c>
      <c r="V207" s="16" t="n">
        <f aca="false">$N207*MAX(0,(MIN($G207,DATE(2026,12,31))-MAX($E207,DATE(2026,12,1))+1))/$O207</f>
        <v>0</v>
      </c>
      <c r="W207" s="17" t="n">
        <f aca="false">$H207*MAX(0,(MIN($G207,DATE(2026,7,31))-MAX($E207,DATE(2026,7,1))+1))/30.4</f>
        <v>1.01973684210526</v>
      </c>
      <c r="X207" s="17" t="n">
        <f aca="false">$H207*MAX(0,(MIN($G207,DATE(2026,8,31))-MAX($E207,DATE(2026,8,1))+1))/30.4</f>
        <v>0.789473684210526</v>
      </c>
      <c r="Y207" s="17" t="n">
        <f aca="false">$H207*MAX(0,(MIN($G207,DATE(2026,9,30))-MAX($E207,DATE(2026,9,1))+1))/30.4</f>
        <v>0</v>
      </c>
      <c r="Z207" s="17" t="n">
        <f aca="false">$H207*MAX(0,(MIN($G207,DATE(2026,10,31))-MAX($E207,DATE(2026,10,1))+1))/30.4</f>
        <v>0</v>
      </c>
      <c r="AA207" s="17" t="n">
        <f aca="false">$H207*MAX(0,(MIN($G207,DATE(2026,11,30))-MAX($E207,DATE(2026,11,1))+1))/30.4</f>
        <v>0</v>
      </c>
      <c r="AB207" s="17" t="n">
        <f aca="false">$H207*MAX(0,(MIN($G207,DATE(2026,12,31))-MAX($E207,DATE(2026,12,1))+1))/30.4</f>
        <v>0</v>
      </c>
    </row>
    <row r="208" customFormat="false" ht="15" hidden="false" customHeight="false" outlineLevel="0" collapsed="false">
      <c r="A208" s="10" t="n">
        <v>157</v>
      </c>
      <c r="B208" s="10" t="n">
        <v>2</v>
      </c>
      <c r="C208" s="10"/>
      <c r="D208" s="10" t="s">
        <v>76</v>
      </c>
      <c r="E208" s="12" t="n">
        <v>46202</v>
      </c>
      <c r="F208" s="10" t="n">
        <v>5</v>
      </c>
      <c r="G208" s="12" t="n">
        <v>46237</v>
      </c>
      <c r="H208" s="13" t="n">
        <v>1</v>
      </c>
      <c r="I208" s="10" t="s">
        <v>113</v>
      </c>
      <c r="J208" s="14" t="str">
        <f aca="false">IFERROR(VLOOKUP(D208,Role_Mapping!$A$5:$D$31,2,FALSE()),"UNMAPPED")</f>
        <v>Senior Software Engineer</v>
      </c>
      <c r="K208" s="14" t="str">
        <f aca="false">IFERROR(VLOOKUP(D208,Role_Mapping!$A$5:$D$31,3,FALSE()),"IN")</f>
        <v>IN</v>
      </c>
      <c r="L208" s="15" t="n">
        <f aca="false">IFERROR(SUMPRODUCT((Rate_Card!$A$5:$A$34=J208)*(Rate_Card!$B$5:$B$34=K208)*Rate_Card!$C$5:$C$34),0)</f>
        <v>585</v>
      </c>
      <c r="M208" s="10" t="n">
        <f aca="false">F208*5</f>
        <v>25</v>
      </c>
      <c r="N208" s="16" t="n">
        <f aca="false">L208*M208*H208</f>
        <v>14625</v>
      </c>
      <c r="O208" s="10" t="n">
        <f aca="false">(G208-E208)+1</f>
        <v>36</v>
      </c>
      <c r="P208" s="14" t="str">
        <f aca="false">IFERROR(VLOOKUP(D208,Role_Mapping!$A$5:$D$31,4,FALSE()),"UNMAPPED")</f>
        <v>Full Stack</v>
      </c>
      <c r="Q208" s="16" t="n">
        <f aca="false">$N208*MAX(0,(MIN($G208,DATE(2026,7,31))-MAX($E208,DATE(2026,7,1))+1))/$O208</f>
        <v>12593.75</v>
      </c>
      <c r="R208" s="16" t="n">
        <f aca="false">$N208*MAX(0,(MIN($G208,DATE(2026,8,31))-MAX($E208,DATE(2026,8,1))+1))/$O208</f>
        <v>1218.75</v>
      </c>
      <c r="S208" s="16" t="n">
        <f aca="false">$N208*MAX(0,(MIN($G208,DATE(2026,9,30))-MAX($E208,DATE(2026,9,1))+1))/$O208</f>
        <v>0</v>
      </c>
      <c r="T208" s="16" t="n">
        <f aca="false">$N208*MAX(0,(MIN($G208,DATE(2026,10,31))-MAX($E208,DATE(2026,10,1))+1))/$O208</f>
        <v>0</v>
      </c>
      <c r="U208" s="16" t="n">
        <f aca="false">$N208*MAX(0,(MIN($G208,DATE(2026,11,30))-MAX($E208,DATE(2026,11,1))+1))/$O208</f>
        <v>0</v>
      </c>
      <c r="V208" s="16" t="n">
        <f aca="false">$N208*MAX(0,(MIN($G208,DATE(2026,12,31))-MAX($E208,DATE(2026,12,1))+1))/$O208</f>
        <v>0</v>
      </c>
      <c r="W208" s="17" t="n">
        <f aca="false">$H208*MAX(0,(MIN($G208,DATE(2026,7,31))-MAX($E208,DATE(2026,7,1))+1))/30.4</f>
        <v>1.01973684210526</v>
      </c>
      <c r="X208" s="17" t="n">
        <f aca="false">$H208*MAX(0,(MIN($G208,DATE(2026,8,31))-MAX($E208,DATE(2026,8,1))+1))/30.4</f>
        <v>0.0986842105263158</v>
      </c>
      <c r="Y208" s="17" t="n">
        <f aca="false">$H208*MAX(0,(MIN($G208,DATE(2026,9,30))-MAX($E208,DATE(2026,9,1))+1))/30.4</f>
        <v>0</v>
      </c>
      <c r="Z208" s="17" t="n">
        <f aca="false">$H208*MAX(0,(MIN($G208,DATE(2026,10,31))-MAX($E208,DATE(2026,10,1))+1))/30.4</f>
        <v>0</v>
      </c>
      <c r="AA208" s="17" t="n">
        <f aca="false">$H208*MAX(0,(MIN($G208,DATE(2026,11,30))-MAX($E208,DATE(2026,11,1))+1))/30.4</f>
        <v>0</v>
      </c>
      <c r="AB208" s="17" t="n">
        <f aca="false">$H208*MAX(0,(MIN($G208,DATE(2026,12,31))-MAX($E208,DATE(2026,12,1))+1))/30.4</f>
        <v>0</v>
      </c>
    </row>
    <row r="209" customFormat="false" ht="15" hidden="false" customHeight="false" outlineLevel="0" collapsed="false">
      <c r="A209" s="10" t="n">
        <v>158</v>
      </c>
      <c r="B209" s="10" t="n">
        <v>2</v>
      </c>
      <c r="C209" s="10" t="s">
        <v>156</v>
      </c>
      <c r="D209" s="10" t="s">
        <v>68</v>
      </c>
      <c r="E209" s="12" t="n">
        <v>46202</v>
      </c>
      <c r="F209" s="10" t="n">
        <v>5</v>
      </c>
      <c r="G209" s="12" t="n">
        <v>46237</v>
      </c>
      <c r="H209" s="13" t="n">
        <v>1</v>
      </c>
      <c r="I209" s="10" t="s">
        <v>113</v>
      </c>
      <c r="J209" s="14" t="str">
        <f aca="false">IFERROR(VLOOKUP(D209,Role_Mapping!$A$5:$D$31,2,FALSE()),"UNMAPPED")</f>
        <v>Senior Associate Consultant</v>
      </c>
      <c r="K209" s="14" t="str">
        <f aca="false">IFERROR(VLOOKUP(D209,Role_Mapping!$A$5:$D$31,3,FALSE()),"IN")</f>
        <v>IN</v>
      </c>
      <c r="L209" s="15" t="n">
        <f aca="false">IFERROR(SUMPRODUCT((Rate_Card!$A$5:$A$34=J209)*(Rate_Card!$B$5:$B$34=K209)*Rate_Card!$C$5:$C$34),0)</f>
        <v>683</v>
      </c>
      <c r="M209" s="10" t="n">
        <f aca="false">F209*5</f>
        <v>25</v>
      </c>
      <c r="N209" s="16" t="n">
        <f aca="false">L209*M209*H209</f>
        <v>17075</v>
      </c>
      <c r="O209" s="10" t="n">
        <f aca="false">(G209-E209)+1</f>
        <v>36</v>
      </c>
      <c r="P209" s="14" t="str">
        <f aca="false">IFERROR(VLOOKUP(D209,Role_Mapping!$A$5:$D$31,4,FALSE()),"UNMAPPED")</f>
        <v>Consulting</v>
      </c>
      <c r="Q209" s="16" t="n">
        <f aca="false">$N209*MAX(0,(MIN($G209,DATE(2026,7,31))-MAX($E209,DATE(2026,7,1))+1))/$O209</f>
        <v>14703.4722222222</v>
      </c>
      <c r="R209" s="16" t="n">
        <f aca="false">$N209*MAX(0,(MIN($G209,DATE(2026,8,31))-MAX($E209,DATE(2026,8,1))+1))/$O209</f>
        <v>1422.91666666667</v>
      </c>
      <c r="S209" s="16" t="n">
        <f aca="false">$N209*MAX(0,(MIN($G209,DATE(2026,9,30))-MAX($E209,DATE(2026,9,1))+1))/$O209</f>
        <v>0</v>
      </c>
      <c r="T209" s="16" t="n">
        <f aca="false">$N209*MAX(0,(MIN($G209,DATE(2026,10,31))-MAX($E209,DATE(2026,10,1))+1))/$O209</f>
        <v>0</v>
      </c>
      <c r="U209" s="16" t="n">
        <f aca="false">$N209*MAX(0,(MIN($G209,DATE(2026,11,30))-MAX($E209,DATE(2026,11,1))+1))/$O209</f>
        <v>0</v>
      </c>
      <c r="V209" s="16" t="n">
        <f aca="false">$N209*MAX(0,(MIN($G209,DATE(2026,12,31))-MAX($E209,DATE(2026,12,1))+1))/$O209</f>
        <v>0</v>
      </c>
      <c r="W209" s="17" t="n">
        <f aca="false">$H209*MAX(0,(MIN($G209,DATE(2026,7,31))-MAX($E209,DATE(2026,7,1))+1))/30.4</f>
        <v>1.01973684210526</v>
      </c>
      <c r="X209" s="17" t="n">
        <f aca="false">$H209*MAX(0,(MIN($G209,DATE(2026,8,31))-MAX($E209,DATE(2026,8,1))+1))/30.4</f>
        <v>0.0986842105263158</v>
      </c>
      <c r="Y209" s="17" t="n">
        <f aca="false">$H209*MAX(0,(MIN($G209,DATE(2026,9,30))-MAX($E209,DATE(2026,9,1))+1))/30.4</f>
        <v>0</v>
      </c>
      <c r="Z209" s="17" t="n">
        <f aca="false">$H209*MAX(0,(MIN($G209,DATE(2026,10,31))-MAX($E209,DATE(2026,10,1))+1))/30.4</f>
        <v>0</v>
      </c>
      <c r="AA209" s="17" t="n">
        <f aca="false">$H209*MAX(0,(MIN($G209,DATE(2026,11,30))-MAX($E209,DATE(2026,11,1))+1))/30.4</f>
        <v>0</v>
      </c>
      <c r="AB209" s="17" t="n">
        <f aca="false">$H209*MAX(0,(MIN($G209,DATE(2026,12,31))-MAX($E209,DATE(2026,12,1))+1))/30.4</f>
        <v>0</v>
      </c>
    </row>
    <row r="210" customFormat="false" ht="15" hidden="false" customHeight="false" outlineLevel="0" collapsed="false">
      <c r="A210" s="10" t="n">
        <v>159</v>
      </c>
      <c r="B210" s="10" t="n">
        <v>3</v>
      </c>
      <c r="C210" s="10" t="s">
        <v>157</v>
      </c>
      <c r="D210" s="10" t="s">
        <v>62</v>
      </c>
      <c r="E210" s="12" t="n">
        <v>46222</v>
      </c>
      <c r="F210" s="10" t="n">
        <v>11</v>
      </c>
      <c r="G210" s="12" t="n">
        <v>46299</v>
      </c>
      <c r="H210" s="13" t="n">
        <v>0.25</v>
      </c>
      <c r="I210" s="10" t="s">
        <v>113</v>
      </c>
      <c r="J210" s="14" t="str">
        <f aca="false">IFERROR(VLOOKUP(D210,Role_Mapping!$A$5:$D$31,2,FALSE()),"UNMAPPED")</f>
        <v>Associate Partner</v>
      </c>
      <c r="K210" s="14" t="str">
        <f aca="false">IFERROR(VLOOKUP(D210,Role_Mapping!$A$5:$D$31,3,FALSE()),"IN")</f>
        <v>UK</v>
      </c>
      <c r="L210" s="15" t="n">
        <f aca="false">IFERROR(SUMPRODUCT((Rate_Card!$A$5:$A$34=J210)*(Rate_Card!$B$5:$B$34=K210)*Rate_Card!$C$5:$C$34),0)</f>
        <v>3526</v>
      </c>
      <c r="M210" s="10" t="n">
        <f aca="false">F210*5</f>
        <v>55</v>
      </c>
      <c r="N210" s="16" t="n">
        <f aca="false">L210*M210*H210</f>
        <v>48482.5</v>
      </c>
      <c r="O210" s="10" t="n">
        <f aca="false">(G210-E210)+1</f>
        <v>78</v>
      </c>
      <c r="P210" s="14" t="str">
        <f aca="false">IFERROR(VLOOKUP(D210,Role_Mapping!$A$5:$D$31,4,FALSE()),"UNMAPPED")</f>
        <v>GTM</v>
      </c>
      <c r="Q210" s="16" t="n">
        <f aca="false">$N210*MAX(0,(MIN($G210,DATE(2026,7,31))-MAX($E210,DATE(2026,7,1))+1))/$O210</f>
        <v>8080.41666666667</v>
      </c>
      <c r="R210" s="16" t="n">
        <f aca="false">$N210*MAX(0,(MIN($G210,DATE(2026,8,31))-MAX($E210,DATE(2026,8,1))+1))/$O210</f>
        <v>19268.6858974359</v>
      </c>
      <c r="S210" s="16" t="n">
        <f aca="false">$N210*MAX(0,(MIN($G210,DATE(2026,9,30))-MAX($E210,DATE(2026,9,1))+1))/$O210</f>
        <v>18647.1153846154</v>
      </c>
      <c r="T210" s="16" t="n">
        <f aca="false">$N210*MAX(0,(MIN($G210,DATE(2026,10,31))-MAX($E210,DATE(2026,10,1))+1))/$O210</f>
        <v>2486.28205128205</v>
      </c>
      <c r="U210" s="16" t="n">
        <f aca="false">$N210*MAX(0,(MIN($G210,DATE(2026,11,30))-MAX($E210,DATE(2026,11,1))+1))/$O210</f>
        <v>0</v>
      </c>
      <c r="V210" s="16" t="n">
        <f aca="false">$N210*MAX(0,(MIN($G210,DATE(2026,12,31))-MAX($E210,DATE(2026,12,1))+1))/$O210</f>
        <v>0</v>
      </c>
      <c r="W210" s="17" t="n">
        <f aca="false">$H210*MAX(0,(MIN($G210,DATE(2026,7,31))-MAX($E210,DATE(2026,7,1))+1))/30.4</f>
        <v>0.106907894736842</v>
      </c>
      <c r="X210" s="17" t="n">
        <f aca="false">$H210*MAX(0,(MIN($G210,DATE(2026,8,31))-MAX($E210,DATE(2026,8,1))+1))/30.4</f>
        <v>0.254934210526316</v>
      </c>
      <c r="Y210" s="17" t="n">
        <f aca="false">$H210*MAX(0,(MIN($G210,DATE(2026,9,30))-MAX($E210,DATE(2026,9,1))+1))/30.4</f>
        <v>0.24671052631579</v>
      </c>
      <c r="Z210" s="17" t="n">
        <f aca="false">$H210*MAX(0,(MIN($G210,DATE(2026,10,31))-MAX($E210,DATE(2026,10,1))+1))/30.4</f>
        <v>0.0328947368421053</v>
      </c>
      <c r="AA210" s="17" t="n">
        <f aca="false">$H210*MAX(0,(MIN($G210,DATE(2026,11,30))-MAX($E210,DATE(2026,11,1))+1))/30.4</f>
        <v>0</v>
      </c>
      <c r="AB210" s="17" t="n">
        <f aca="false">$H210*MAX(0,(MIN($G210,DATE(2026,12,31))-MAX($E210,DATE(2026,12,1))+1))/30.4</f>
        <v>0</v>
      </c>
    </row>
    <row r="211" customFormat="false" ht="15" hidden="false" customHeight="false" outlineLevel="0" collapsed="false">
      <c r="A211" s="10" t="n">
        <v>159</v>
      </c>
      <c r="B211" s="10" t="n">
        <v>3</v>
      </c>
      <c r="C211" s="10" t="s">
        <v>157</v>
      </c>
      <c r="D211" s="10" t="s">
        <v>72</v>
      </c>
      <c r="E211" s="12" t="n">
        <v>46222</v>
      </c>
      <c r="F211" s="10" t="n">
        <v>11</v>
      </c>
      <c r="G211" s="12" t="n">
        <v>46299</v>
      </c>
      <c r="H211" s="13" t="n">
        <v>0.5</v>
      </c>
      <c r="I211" s="10" t="s">
        <v>113</v>
      </c>
      <c r="J211" s="14" t="str">
        <f aca="false">IFERROR(VLOOKUP(D211,Role_Mapping!$A$5:$D$31,2,FALSE()),"UNMAPPED")</f>
        <v>Senior Consultant</v>
      </c>
      <c r="K211" s="14" t="str">
        <f aca="false">IFERROR(VLOOKUP(D211,Role_Mapping!$A$5:$D$31,3,FALSE()),"IN")</f>
        <v>UK</v>
      </c>
      <c r="L211" s="15" t="n">
        <f aca="false">IFERROR(SUMPRODUCT((Rate_Card!$A$5:$A$34=J211)*(Rate_Card!$B$5:$B$34=K211)*Rate_Card!$C$5:$C$34),0)</f>
        <v>2798</v>
      </c>
      <c r="M211" s="10" t="n">
        <f aca="false">F211*5</f>
        <v>55</v>
      </c>
      <c r="N211" s="16" t="n">
        <f aca="false">L211*M211*H211</f>
        <v>76945</v>
      </c>
      <c r="O211" s="10" t="n">
        <f aca="false">(G211-E211)+1</f>
        <v>78</v>
      </c>
      <c r="P211" s="14" t="str">
        <f aca="false">IFERROR(VLOOKUP(D211,Role_Mapping!$A$5:$D$31,4,FALSE()),"UNMAPPED")</f>
        <v>Consulting</v>
      </c>
      <c r="Q211" s="16" t="n">
        <f aca="false">$N211*MAX(0,(MIN($G211,DATE(2026,7,31))-MAX($E211,DATE(2026,7,1))+1))/$O211</f>
        <v>12824.1666666667</v>
      </c>
      <c r="R211" s="16" t="n">
        <f aca="false">$N211*MAX(0,(MIN($G211,DATE(2026,8,31))-MAX($E211,DATE(2026,8,1))+1))/$O211</f>
        <v>30580.7051282051</v>
      </c>
      <c r="S211" s="16" t="n">
        <f aca="false">$N211*MAX(0,(MIN($G211,DATE(2026,9,30))-MAX($E211,DATE(2026,9,1))+1))/$O211</f>
        <v>29594.2307692308</v>
      </c>
      <c r="T211" s="16" t="n">
        <f aca="false">$N211*MAX(0,(MIN($G211,DATE(2026,10,31))-MAX($E211,DATE(2026,10,1))+1))/$O211</f>
        <v>3945.89743589744</v>
      </c>
      <c r="U211" s="16" t="n">
        <f aca="false">$N211*MAX(0,(MIN($G211,DATE(2026,11,30))-MAX($E211,DATE(2026,11,1))+1))/$O211</f>
        <v>0</v>
      </c>
      <c r="V211" s="16" t="n">
        <f aca="false">$N211*MAX(0,(MIN($G211,DATE(2026,12,31))-MAX($E211,DATE(2026,12,1))+1))/$O211</f>
        <v>0</v>
      </c>
      <c r="W211" s="17" t="n">
        <f aca="false">$H211*MAX(0,(MIN($G211,DATE(2026,7,31))-MAX($E211,DATE(2026,7,1))+1))/30.4</f>
        <v>0.213815789473684</v>
      </c>
      <c r="X211" s="17" t="n">
        <f aca="false">$H211*MAX(0,(MIN($G211,DATE(2026,8,31))-MAX($E211,DATE(2026,8,1))+1))/30.4</f>
        <v>0.509868421052632</v>
      </c>
      <c r="Y211" s="17" t="n">
        <f aca="false">$H211*MAX(0,(MIN($G211,DATE(2026,9,30))-MAX($E211,DATE(2026,9,1))+1))/30.4</f>
        <v>0.493421052631579</v>
      </c>
      <c r="Z211" s="17" t="n">
        <f aca="false">$H211*MAX(0,(MIN($G211,DATE(2026,10,31))-MAX($E211,DATE(2026,10,1))+1))/30.4</f>
        <v>0.0657894736842105</v>
      </c>
      <c r="AA211" s="17" t="n">
        <f aca="false">$H211*MAX(0,(MIN($G211,DATE(2026,11,30))-MAX($E211,DATE(2026,11,1))+1))/30.4</f>
        <v>0</v>
      </c>
      <c r="AB211" s="17" t="n">
        <f aca="false">$H211*MAX(0,(MIN($G211,DATE(2026,12,31))-MAX($E211,DATE(2026,12,1))+1))/30.4</f>
        <v>0</v>
      </c>
    </row>
    <row r="212" customFormat="false" ht="15" hidden="false" customHeight="false" outlineLevel="0" collapsed="false">
      <c r="A212" s="10" t="n">
        <v>159</v>
      </c>
      <c r="B212" s="10" t="n">
        <v>3</v>
      </c>
      <c r="C212" s="10" t="s">
        <v>157</v>
      </c>
      <c r="D212" s="10" t="s">
        <v>53</v>
      </c>
      <c r="E212" s="12" t="n">
        <v>46222</v>
      </c>
      <c r="F212" s="10" t="n">
        <v>11</v>
      </c>
      <c r="G212" s="12" t="n">
        <v>46299</v>
      </c>
      <c r="H212" s="13" t="n">
        <v>1</v>
      </c>
      <c r="I212" s="10" t="s">
        <v>113</v>
      </c>
      <c r="J212" s="14" t="str">
        <f aca="false">IFERROR(VLOOKUP(D212,Role_Mapping!$A$5:$D$31,2,FALSE()),"UNMAPPED")</f>
        <v>Consultant</v>
      </c>
      <c r="K212" s="14" t="str">
        <f aca="false">IFERROR(VLOOKUP(D212,Role_Mapping!$A$5:$D$31,3,FALSE()),"IN")</f>
        <v>IN</v>
      </c>
      <c r="L212" s="15" t="n">
        <f aca="false">IFERROR(SUMPRODUCT((Rate_Card!$A$5:$A$34=J212)*(Rate_Card!$B$5:$B$34=K212)*Rate_Card!$C$5:$C$34),0)</f>
        <v>683</v>
      </c>
      <c r="M212" s="10" t="n">
        <f aca="false">F212*5</f>
        <v>55</v>
      </c>
      <c r="N212" s="16" t="n">
        <f aca="false">L212*M212*H212</f>
        <v>37565</v>
      </c>
      <c r="O212" s="10" t="n">
        <f aca="false">(G212-E212)+1</f>
        <v>78</v>
      </c>
      <c r="P212" s="14" t="str">
        <f aca="false">IFERROR(VLOOKUP(D212,Role_Mapping!$A$5:$D$31,4,FALSE()),"UNMAPPED")</f>
        <v>Consulting</v>
      </c>
      <c r="Q212" s="16" t="n">
        <f aca="false">$N212*MAX(0,(MIN($G212,DATE(2026,7,31))-MAX($E212,DATE(2026,7,1))+1))/$O212</f>
        <v>6260.83333333333</v>
      </c>
      <c r="R212" s="16" t="n">
        <f aca="false">$N212*MAX(0,(MIN($G212,DATE(2026,8,31))-MAX($E212,DATE(2026,8,1))+1))/$O212</f>
        <v>14929.6794871795</v>
      </c>
      <c r="S212" s="16" t="n">
        <f aca="false">$N212*MAX(0,(MIN($G212,DATE(2026,9,30))-MAX($E212,DATE(2026,9,1))+1))/$O212</f>
        <v>14448.0769230769</v>
      </c>
      <c r="T212" s="16" t="n">
        <f aca="false">$N212*MAX(0,(MIN($G212,DATE(2026,10,31))-MAX($E212,DATE(2026,10,1))+1))/$O212</f>
        <v>1926.41025641026</v>
      </c>
      <c r="U212" s="16" t="n">
        <f aca="false">$N212*MAX(0,(MIN($G212,DATE(2026,11,30))-MAX($E212,DATE(2026,11,1))+1))/$O212</f>
        <v>0</v>
      </c>
      <c r="V212" s="16" t="n">
        <f aca="false">$N212*MAX(0,(MIN($G212,DATE(2026,12,31))-MAX($E212,DATE(2026,12,1))+1))/$O212</f>
        <v>0</v>
      </c>
      <c r="W212" s="17" t="n">
        <f aca="false">$H212*MAX(0,(MIN($G212,DATE(2026,7,31))-MAX($E212,DATE(2026,7,1))+1))/30.4</f>
        <v>0.427631578947368</v>
      </c>
      <c r="X212" s="17" t="n">
        <f aca="false">$H212*MAX(0,(MIN($G212,DATE(2026,8,31))-MAX($E212,DATE(2026,8,1))+1))/30.4</f>
        <v>1.01973684210526</v>
      </c>
      <c r="Y212" s="17" t="n">
        <f aca="false">$H212*MAX(0,(MIN($G212,DATE(2026,9,30))-MAX($E212,DATE(2026,9,1))+1))/30.4</f>
        <v>0.986842105263158</v>
      </c>
      <c r="Z212" s="17" t="n">
        <f aca="false">$H212*MAX(0,(MIN($G212,DATE(2026,10,31))-MAX($E212,DATE(2026,10,1))+1))/30.4</f>
        <v>0.131578947368421</v>
      </c>
      <c r="AA212" s="17" t="n">
        <f aca="false">$H212*MAX(0,(MIN($G212,DATE(2026,11,30))-MAX($E212,DATE(2026,11,1))+1))/30.4</f>
        <v>0</v>
      </c>
      <c r="AB212" s="17" t="n">
        <f aca="false">$H212*MAX(0,(MIN($G212,DATE(2026,12,31))-MAX($E212,DATE(2026,12,1))+1))/30.4</f>
        <v>0</v>
      </c>
    </row>
    <row r="213" customFormat="false" ht="15" hidden="false" customHeight="false" outlineLevel="0" collapsed="false">
      <c r="A213" s="10" t="n">
        <v>159</v>
      </c>
      <c r="B213" s="10" t="n">
        <v>3</v>
      </c>
      <c r="C213" s="10" t="s">
        <v>157</v>
      </c>
      <c r="D213" s="10" t="s">
        <v>84</v>
      </c>
      <c r="E213" s="12" t="n">
        <v>46222</v>
      </c>
      <c r="F213" s="10" t="n">
        <v>11</v>
      </c>
      <c r="G213" s="12" t="n">
        <v>46299</v>
      </c>
      <c r="H213" s="13" t="n">
        <v>0.875</v>
      </c>
      <c r="I213" s="10" t="s">
        <v>113</v>
      </c>
      <c r="J213" s="14" t="str">
        <f aca="false">IFERROR(VLOOKUP(D213,Role_Mapping!$A$5:$D$31,2,FALSE()),"UNMAPPED")</f>
        <v>Senior Solutions Consultant</v>
      </c>
      <c r="K213" s="14" t="str">
        <f aca="false">IFERROR(VLOOKUP(D213,Role_Mapping!$A$5:$D$31,3,FALSE()),"IN")</f>
        <v>IN</v>
      </c>
      <c r="L213" s="15" t="n">
        <f aca="false">IFERROR(SUMPRODUCT((Rate_Card!$A$5:$A$34=J213)*(Rate_Card!$B$5:$B$34=K213)*Rate_Card!$C$5:$C$34),0)</f>
        <v>715</v>
      </c>
      <c r="M213" s="10" t="n">
        <f aca="false">F213*5</f>
        <v>55</v>
      </c>
      <c r="N213" s="16" t="n">
        <f aca="false">L213*M213*H213</f>
        <v>34409.375</v>
      </c>
      <c r="O213" s="10" t="n">
        <f aca="false">(G213-E213)+1</f>
        <v>78</v>
      </c>
      <c r="P213" s="14" t="str">
        <f aca="false">IFERROR(VLOOKUP(D213,Role_Mapping!$A$5:$D$31,4,FALSE()),"UNMAPPED")</f>
        <v>Power BI &amp; Consulting</v>
      </c>
      <c r="Q213" s="16" t="n">
        <f aca="false">$N213*MAX(0,(MIN($G213,DATE(2026,7,31))-MAX($E213,DATE(2026,7,1))+1))/$O213</f>
        <v>5734.89583333333</v>
      </c>
      <c r="R213" s="16" t="n">
        <f aca="false">$N213*MAX(0,(MIN($G213,DATE(2026,8,31))-MAX($E213,DATE(2026,8,1))+1))/$O213</f>
        <v>13675.5208333333</v>
      </c>
      <c r="S213" s="16" t="n">
        <f aca="false">$N213*MAX(0,(MIN($G213,DATE(2026,9,30))-MAX($E213,DATE(2026,9,1))+1))/$O213</f>
        <v>13234.375</v>
      </c>
      <c r="T213" s="16" t="n">
        <f aca="false">$N213*MAX(0,(MIN($G213,DATE(2026,10,31))-MAX($E213,DATE(2026,10,1))+1))/$O213</f>
        <v>1764.58333333333</v>
      </c>
      <c r="U213" s="16" t="n">
        <f aca="false">$N213*MAX(0,(MIN($G213,DATE(2026,11,30))-MAX($E213,DATE(2026,11,1))+1))/$O213</f>
        <v>0</v>
      </c>
      <c r="V213" s="16" t="n">
        <f aca="false">$N213*MAX(0,(MIN($G213,DATE(2026,12,31))-MAX($E213,DATE(2026,12,1))+1))/$O213</f>
        <v>0</v>
      </c>
      <c r="W213" s="17" t="n">
        <f aca="false">$H213*MAX(0,(MIN($G213,DATE(2026,7,31))-MAX($E213,DATE(2026,7,1))+1))/30.4</f>
        <v>0.374177631578947</v>
      </c>
      <c r="X213" s="17" t="n">
        <f aca="false">$H213*MAX(0,(MIN($G213,DATE(2026,8,31))-MAX($E213,DATE(2026,8,1))+1))/30.4</f>
        <v>0.892269736842105</v>
      </c>
      <c r="Y213" s="17" t="n">
        <f aca="false">$H213*MAX(0,(MIN($G213,DATE(2026,9,30))-MAX($E213,DATE(2026,9,1))+1))/30.4</f>
        <v>0.863486842105263</v>
      </c>
      <c r="Z213" s="17" t="n">
        <f aca="false">$H213*MAX(0,(MIN($G213,DATE(2026,10,31))-MAX($E213,DATE(2026,10,1))+1))/30.4</f>
        <v>0.115131578947368</v>
      </c>
      <c r="AA213" s="17" t="n">
        <f aca="false">$H213*MAX(0,(MIN($G213,DATE(2026,11,30))-MAX($E213,DATE(2026,11,1))+1))/30.4</f>
        <v>0</v>
      </c>
      <c r="AB213" s="17" t="n">
        <f aca="false">$H213*MAX(0,(MIN($G213,DATE(2026,12,31))-MAX($E213,DATE(2026,12,1))+1))/30.4</f>
        <v>0</v>
      </c>
    </row>
    <row r="214" customFormat="false" ht="15" hidden="false" customHeight="false" outlineLevel="0" collapsed="false">
      <c r="A214" s="10" t="n">
        <v>159</v>
      </c>
      <c r="B214" s="10" t="n">
        <v>3</v>
      </c>
      <c r="C214" s="10" t="s">
        <v>157</v>
      </c>
      <c r="D214" s="10" t="s">
        <v>76</v>
      </c>
      <c r="E214" s="12" t="n">
        <v>46222</v>
      </c>
      <c r="F214" s="10" t="n">
        <v>11</v>
      </c>
      <c r="G214" s="12" t="n">
        <v>46299</v>
      </c>
      <c r="H214" s="13" t="n">
        <v>1</v>
      </c>
      <c r="I214" s="10" t="s">
        <v>113</v>
      </c>
      <c r="J214" s="14" t="str">
        <f aca="false">IFERROR(VLOOKUP(D214,Role_Mapping!$A$5:$D$31,2,FALSE()),"UNMAPPED")</f>
        <v>Senior Software Engineer</v>
      </c>
      <c r="K214" s="14" t="str">
        <f aca="false">IFERROR(VLOOKUP(D214,Role_Mapping!$A$5:$D$31,3,FALSE()),"IN")</f>
        <v>IN</v>
      </c>
      <c r="L214" s="15" t="n">
        <f aca="false">IFERROR(SUMPRODUCT((Rate_Card!$A$5:$A$34=J214)*(Rate_Card!$B$5:$B$34=K214)*Rate_Card!$C$5:$C$34),0)</f>
        <v>585</v>
      </c>
      <c r="M214" s="10" t="n">
        <f aca="false">F214*5</f>
        <v>55</v>
      </c>
      <c r="N214" s="16" t="n">
        <f aca="false">L214*M214*H214</f>
        <v>32175</v>
      </c>
      <c r="O214" s="10" t="n">
        <f aca="false">(G214-E214)+1</f>
        <v>78</v>
      </c>
      <c r="P214" s="14" t="str">
        <f aca="false">IFERROR(VLOOKUP(D214,Role_Mapping!$A$5:$D$31,4,FALSE()),"UNMAPPED")</f>
        <v>Full Stack</v>
      </c>
      <c r="Q214" s="16" t="n">
        <f aca="false">$N214*MAX(0,(MIN($G214,DATE(2026,7,31))-MAX($E214,DATE(2026,7,1))+1))/$O214</f>
        <v>5362.5</v>
      </c>
      <c r="R214" s="16" t="n">
        <f aca="false">$N214*MAX(0,(MIN($G214,DATE(2026,8,31))-MAX($E214,DATE(2026,8,1))+1))/$O214</f>
        <v>12787.5</v>
      </c>
      <c r="S214" s="16" t="n">
        <f aca="false">$N214*MAX(0,(MIN($G214,DATE(2026,9,30))-MAX($E214,DATE(2026,9,1))+1))/$O214</f>
        <v>12375</v>
      </c>
      <c r="T214" s="16" t="n">
        <f aca="false">$N214*MAX(0,(MIN($G214,DATE(2026,10,31))-MAX($E214,DATE(2026,10,1))+1))/$O214</f>
        <v>1650</v>
      </c>
      <c r="U214" s="16" t="n">
        <f aca="false">$N214*MAX(0,(MIN($G214,DATE(2026,11,30))-MAX($E214,DATE(2026,11,1))+1))/$O214</f>
        <v>0</v>
      </c>
      <c r="V214" s="16" t="n">
        <f aca="false">$N214*MAX(0,(MIN($G214,DATE(2026,12,31))-MAX($E214,DATE(2026,12,1))+1))/$O214</f>
        <v>0</v>
      </c>
      <c r="W214" s="17" t="n">
        <f aca="false">$H214*MAX(0,(MIN($G214,DATE(2026,7,31))-MAX($E214,DATE(2026,7,1))+1))/30.4</f>
        <v>0.427631578947368</v>
      </c>
      <c r="X214" s="17" t="n">
        <f aca="false">$H214*MAX(0,(MIN($G214,DATE(2026,8,31))-MAX($E214,DATE(2026,8,1))+1))/30.4</f>
        <v>1.01973684210526</v>
      </c>
      <c r="Y214" s="17" t="n">
        <f aca="false">$H214*MAX(0,(MIN($G214,DATE(2026,9,30))-MAX($E214,DATE(2026,9,1))+1))/30.4</f>
        <v>0.986842105263158</v>
      </c>
      <c r="Z214" s="17" t="n">
        <f aca="false">$H214*MAX(0,(MIN($G214,DATE(2026,10,31))-MAX($E214,DATE(2026,10,1))+1))/30.4</f>
        <v>0.131578947368421</v>
      </c>
      <c r="AA214" s="17" t="n">
        <f aca="false">$H214*MAX(0,(MIN($G214,DATE(2026,11,30))-MAX($E214,DATE(2026,11,1))+1))/30.4</f>
        <v>0</v>
      </c>
      <c r="AB214" s="17" t="n">
        <f aca="false">$H214*MAX(0,(MIN($G214,DATE(2026,12,31))-MAX($E214,DATE(2026,12,1))+1))/30.4</f>
        <v>0</v>
      </c>
    </row>
    <row r="215" customFormat="false" ht="15" hidden="false" customHeight="false" outlineLevel="0" collapsed="false">
      <c r="A215" s="10" t="n">
        <v>159</v>
      </c>
      <c r="B215" s="10" t="n">
        <v>3</v>
      </c>
      <c r="C215" s="10" t="s">
        <v>157</v>
      </c>
      <c r="D215" s="10" t="s">
        <v>75</v>
      </c>
      <c r="E215" s="12" t="n">
        <v>46222</v>
      </c>
      <c r="F215" s="10" t="n">
        <v>11</v>
      </c>
      <c r="G215" s="12" t="n">
        <v>46299</v>
      </c>
      <c r="H215" s="13" t="n">
        <v>1</v>
      </c>
      <c r="I215" s="10" t="s">
        <v>113</v>
      </c>
      <c r="J215" s="14" t="str">
        <f aca="false">IFERROR(VLOOKUP(D215,Role_Mapping!$A$5:$D$31,2,FALSE()),"UNMAPPED")</f>
        <v>Software Engineer</v>
      </c>
      <c r="K215" s="14" t="str">
        <f aca="false">IFERROR(VLOOKUP(D215,Role_Mapping!$A$5:$D$31,3,FALSE()),"IN")</f>
        <v>IN</v>
      </c>
      <c r="L215" s="15" t="n">
        <f aca="false">IFERROR(SUMPRODUCT((Rate_Card!$A$5:$A$34=J215)*(Rate_Card!$B$5:$B$34=K215)*Rate_Card!$C$5:$C$34),0)</f>
        <v>455</v>
      </c>
      <c r="M215" s="10" t="n">
        <f aca="false">F215*5</f>
        <v>55</v>
      </c>
      <c r="N215" s="16" t="n">
        <f aca="false">L215*M215*H215</f>
        <v>25025</v>
      </c>
      <c r="O215" s="10" t="n">
        <f aca="false">(G215-E215)+1</f>
        <v>78</v>
      </c>
      <c r="P215" s="14" t="str">
        <f aca="false">IFERROR(VLOOKUP(D215,Role_Mapping!$A$5:$D$31,4,FALSE()),"UNMAPPED")</f>
        <v>Full Stack</v>
      </c>
      <c r="Q215" s="16" t="n">
        <f aca="false">$N215*MAX(0,(MIN($G215,DATE(2026,7,31))-MAX($E215,DATE(2026,7,1))+1))/$O215</f>
        <v>4170.83333333333</v>
      </c>
      <c r="R215" s="16" t="n">
        <f aca="false">$N215*MAX(0,(MIN($G215,DATE(2026,8,31))-MAX($E215,DATE(2026,8,1))+1))/$O215</f>
        <v>9945.83333333333</v>
      </c>
      <c r="S215" s="16" t="n">
        <f aca="false">$N215*MAX(0,(MIN($G215,DATE(2026,9,30))-MAX($E215,DATE(2026,9,1))+1))/$O215</f>
        <v>9625</v>
      </c>
      <c r="T215" s="16" t="n">
        <f aca="false">$N215*MAX(0,(MIN($G215,DATE(2026,10,31))-MAX($E215,DATE(2026,10,1))+1))/$O215</f>
        <v>1283.33333333333</v>
      </c>
      <c r="U215" s="16" t="n">
        <f aca="false">$N215*MAX(0,(MIN($G215,DATE(2026,11,30))-MAX($E215,DATE(2026,11,1))+1))/$O215</f>
        <v>0</v>
      </c>
      <c r="V215" s="16" t="n">
        <f aca="false">$N215*MAX(0,(MIN($G215,DATE(2026,12,31))-MAX($E215,DATE(2026,12,1))+1))/$O215</f>
        <v>0</v>
      </c>
      <c r="W215" s="17" t="n">
        <f aca="false">$H215*MAX(0,(MIN($G215,DATE(2026,7,31))-MAX($E215,DATE(2026,7,1))+1))/30.4</f>
        <v>0.427631578947368</v>
      </c>
      <c r="X215" s="17" t="n">
        <f aca="false">$H215*MAX(0,(MIN($G215,DATE(2026,8,31))-MAX($E215,DATE(2026,8,1))+1))/30.4</f>
        <v>1.01973684210526</v>
      </c>
      <c r="Y215" s="17" t="n">
        <f aca="false">$H215*MAX(0,(MIN($G215,DATE(2026,9,30))-MAX($E215,DATE(2026,9,1))+1))/30.4</f>
        <v>0.986842105263158</v>
      </c>
      <c r="Z215" s="17" t="n">
        <f aca="false">$H215*MAX(0,(MIN($G215,DATE(2026,10,31))-MAX($E215,DATE(2026,10,1))+1))/30.4</f>
        <v>0.131578947368421</v>
      </c>
      <c r="AA215" s="17" t="n">
        <f aca="false">$H215*MAX(0,(MIN($G215,DATE(2026,11,30))-MAX($E215,DATE(2026,11,1))+1))/30.4</f>
        <v>0</v>
      </c>
      <c r="AB215" s="17" t="n">
        <f aca="false">$H215*MAX(0,(MIN($G215,DATE(2026,12,31))-MAX($E215,DATE(2026,12,1))+1))/30.4</f>
        <v>0</v>
      </c>
    </row>
    <row r="216" customFormat="false" ht="15" hidden="false" customHeight="false" outlineLevel="0" collapsed="false">
      <c r="A216" s="10" t="n">
        <v>160</v>
      </c>
      <c r="B216" s="10" t="n">
        <v>5</v>
      </c>
      <c r="C216" s="10" t="s">
        <v>158</v>
      </c>
      <c r="D216" s="10" t="s">
        <v>58</v>
      </c>
      <c r="E216" s="12" t="n">
        <v>46218</v>
      </c>
      <c r="F216" s="10" t="n">
        <v>4</v>
      </c>
      <c r="G216" s="12" t="n">
        <v>46246</v>
      </c>
      <c r="H216" s="13" t="n">
        <v>0.125</v>
      </c>
      <c r="I216" s="10" t="s">
        <v>113</v>
      </c>
      <c r="J216" s="14" t="str">
        <f aca="false">IFERROR(VLOOKUP(D216,Role_Mapping!$A$5:$D$31,2,FALSE()),"UNMAPPED")</f>
        <v>Solutions Enabler</v>
      </c>
      <c r="K216" s="14" t="str">
        <f aca="false">IFERROR(VLOOKUP(D216,Role_Mapping!$A$5:$D$31,3,FALSE()),"IN")</f>
        <v>IN</v>
      </c>
      <c r="L216" s="15" t="n">
        <f aca="false">IFERROR(SUMPRODUCT((Rate_Card!$A$5:$A$34=J216)*(Rate_Card!$B$5:$B$34=K216)*Rate_Card!$C$5:$C$34),0)</f>
        <v>683</v>
      </c>
      <c r="M216" s="10" t="n">
        <f aca="false">F216*5</f>
        <v>20</v>
      </c>
      <c r="N216" s="16" t="n">
        <f aca="false">L216*M216*H216</f>
        <v>1707.5</v>
      </c>
      <c r="O216" s="10" t="n">
        <f aca="false">(G216-E216)+1</f>
        <v>29</v>
      </c>
      <c r="P216" s="14" t="str">
        <f aca="false">IFERROR(VLOOKUP(D216,Role_Mapping!$A$5:$D$31,4,FALSE()),"UNMAPPED")</f>
        <v>Data Engineering</v>
      </c>
      <c r="Q216" s="16" t="n">
        <f aca="false">$N216*MAX(0,(MIN($G216,DATE(2026,7,31))-MAX($E216,DATE(2026,7,1))+1))/$O216</f>
        <v>1000.94827586207</v>
      </c>
      <c r="R216" s="16" t="n">
        <f aca="false">$N216*MAX(0,(MIN($G216,DATE(2026,8,31))-MAX($E216,DATE(2026,8,1))+1))/$O216</f>
        <v>706.551724137931</v>
      </c>
      <c r="S216" s="16" t="n">
        <f aca="false">$N216*MAX(0,(MIN($G216,DATE(2026,9,30))-MAX($E216,DATE(2026,9,1))+1))/$O216</f>
        <v>0</v>
      </c>
      <c r="T216" s="16" t="n">
        <f aca="false">$N216*MAX(0,(MIN($G216,DATE(2026,10,31))-MAX($E216,DATE(2026,10,1))+1))/$O216</f>
        <v>0</v>
      </c>
      <c r="U216" s="16" t="n">
        <f aca="false">$N216*MAX(0,(MIN($G216,DATE(2026,11,30))-MAX($E216,DATE(2026,11,1))+1))/$O216</f>
        <v>0</v>
      </c>
      <c r="V216" s="16" t="n">
        <f aca="false">$N216*MAX(0,(MIN($G216,DATE(2026,12,31))-MAX($E216,DATE(2026,12,1))+1))/$O216</f>
        <v>0</v>
      </c>
      <c r="W216" s="17" t="n">
        <f aca="false">$H216*MAX(0,(MIN($G216,DATE(2026,7,31))-MAX($E216,DATE(2026,7,1))+1))/30.4</f>
        <v>0.0699013157894737</v>
      </c>
      <c r="X216" s="17" t="n">
        <f aca="false">$H216*MAX(0,(MIN($G216,DATE(2026,8,31))-MAX($E216,DATE(2026,8,1))+1))/30.4</f>
        <v>0.0493421052631579</v>
      </c>
      <c r="Y216" s="17" t="n">
        <f aca="false">$H216*MAX(0,(MIN($G216,DATE(2026,9,30))-MAX($E216,DATE(2026,9,1))+1))/30.4</f>
        <v>0</v>
      </c>
      <c r="Z216" s="17" t="n">
        <f aca="false">$H216*MAX(0,(MIN($G216,DATE(2026,10,31))-MAX($E216,DATE(2026,10,1))+1))/30.4</f>
        <v>0</v>
      </c>
      <c r="AA216" s="17" t="n">
        <f aca="false">$H216*MAX(0,(MIN($G216,DATE(2026,11,30))-MAX($E216,DATE(2026,11,1))+1))/30.4</f>
        <v>0</v>
      </c>
      <c r="AB216" s="17" t="n">
        <f aca="false">$H216*MAX(0,(MIN($G216,DATE(2026,12,31))-MAX($E216,DATE(2026,12,1))+1))/30.4</f>
        <v>0</v>
      </c>
    </row>
    <row r="217" customFormat="false" ht="15" hidden="false" customHeight="false" outlineLevel="0" collapsed="false">
      <c r="A217" s="10" t="n">
        <v>160</v>
      </c>
      <c r="B217" s="10" t="n">
        <v>5</v>
      </c>
      <c r="C217" s="10" t="s">
        <v>158</v>
      </c>
      <c r="D217" s="10" t="s">
        <v>80</v>
      </c>
      <c r="E217" s="12" t="n">
        <v>46218</v>
      </c>
      <c r="F217" s="10" t="n">
        <v>4</v>
      </c>
      <c r="G217" s="12" t="n">
        <v>46246</v>
      </c>
      <c r="H217" s="13" t="n">
        <v>0.5</v>
      </c>
      <c r="I217" s="10" t="s">
        <v>113</v>
      </c>
      <c r="J217" s="14" t="str">
        <f aca="false">IFERROR(VLOOKUP(D217,Role_Mapping!$A$5:$D$31,2,FALSE()),"UNMAPPED")</f>
        <v>Solutions Consultant</v>
      </c>
      <c r="K217" s="14" t="str">
        <f aca="false">IFERROR(VLOOKUP(D217,Role_Mapping!$A$5:$D$31,3,FALSE()),"IN")</f>
        <v>IN</v>
      </c>
      <c r="L217" s="15" t="n">
        <f aca="false">IFERROR(SUMPRODUCT((Rate_Card!$A$5:$A$34=J217)*(Rate_Card!$B$5:$B$34=K217)*Rate_Card!$C$5:$C$34),0)</f>
        <v>683</v>
      </c>
      <c r="M217" s="10" t="n">
        <f aca="false">F217*5</f>
        <v>20</v>
      </c>
      <c r="N217" s="16" t="n">
        <f aca="false">L217*M217*H217</f>
        <v>6830</v>
      </c>
      <c r="O217" s="10" t="n">
        <f aca="false">(G217-E217)+1</f>
        <v>29</v>
      </c>
      <c r="P217" s="14" t="str">
        <f aca="false">IFERROR(VLOOKUP(D217,Role_Mapping!$A$5:$D$31,4,FALSE()),"UNMAPPED")</f>
        <v>Power BI &amp; Consulting</v>
      </c>
      <c r="Q217" s="16" t="n">
        <f aca="false">$N217*MAX(0,(MIN($G217,DATE(2026,7,31))-MAX($E217,DATE(2026,7,1))+1))/$O217</f>
        <v>4003.79310344828</v>
      </c>
      <c r="R217" s="16" t="n">
        <f aca="false">$N217*MAX(0,(MIN($G217,DATE(2026,8,31))-MAX($E217,DATE(2026,8,1))+1))/$O217</f>
        <v>2826.20689655172</v>
      </c>
      <c r="S217" s="16" t="n">
        <f aca="false">$N217*MAX(0,(MIN($G217,DATE(2026,9,30))-MAX($E217,DATE(2026,9,1))+1))/$O217</f>
        <v>0</v>
      </c>
      <c r="T217" s="16" t="n">
        <f aca="false">$N217*MAX(0,(MIN($G217,DATE(2026,10,31))-MAX($E217,DATE(2026,10,1))+1))/$O217</f>
        <v>0</v>
      </c>
      <c r="U217" s="16" t="n">
        <f aca="false">$N217*MAX(0,(MIN($G217,DATE(2026,11,30))-MAX($E217,DATE(2026,11,1))+1))/$O217</f>
        <v>0</v>
      </c>
      <c r="V217" s="16" t="n">
        <f aca="false">$N217*MAX(0,(MIN($G217,DATE(2026,12,31))-MAX($E217,DATE(2026,12,1))+1))/$O217</f>
        <v>0</v>
      </c>
      <c r="W217" s="17" t="n">
        <f aca="false">$H217*MAX(0,(MIN($G217,DATE(2026,7,31))-MAX($E217,DATE(2026,7,1))+1))/30.4</f>
        <v>0.279605263157895</v>
      </c>
      <c r="X217" s="17" t="n">
        <f aca="false">$H217*MAX(0,(MIN($G217,DATE(2026,8,31))-MAX($E217,DATE(2026,8,1))+1))/30.4</f>
        <v>0.197368421052632</v>
      </c>
      <c r="Y217" s="17" t="n">
        <f aca="false">$H217*MAX(0,(MIN($G217,DATE(2026,9,30))-MAX($E217,DATE(2026,9,1))+1))/30.4</f>
        <v>0</v>
      </c>
      <c r="Z217" s="17" t="n">
        <f aca="false">$H217*MAX(0,(MIN($G217,DATE(2026,10,31))-MAX($E217,DATE(2026,10,1))+1))/30.4</f>
        <v>0</v>
      </c>
      <c r="AA217" s="17" t="n">
        <f aca="false">$H217*MAX(0,(MIN($G217,DATE(2026,11,30))-MAX($E217,DATE(2026,11,1))+1))/30.4</f>
        <v>0</v>
      </c>
      <c r="AB217" s="17" t="n">
        <f aca="false">$H217*MAX(0,(MIN($G217,DATE(2026,12,31))-MAX($E217,DATE(2026,12,1))+1))/30.4</f>
        <v>0</v>
      </c>
    </row>
    <row r="218" customFormat="false" ht="15" hidden="false" customHeight="false" outlineLevel="0" collapsed="false">
      <c r="A218" s="10" t="n">
        <v>160</v>
      </c>
      <c r="B218" s="10" t="n">
        <v>5</v>
      </c>
      <c r="C218" s="10" t="s">
        <v>158</v>
      </c>
      <c r="D218" s="10" t="s">
        <v>75</v>
      </c>
      <c r="E218" s="12" t="n">
        <v>46218</v>
      </c>
      <c r="F218" s="10" t="n">
        <v>4</v>
      </c>
      <c r="G218" s="12" t="n">
        <v>46246</v>
      </c>
      <c r="H218" s="13" t="n">
        <v>1</v>
      </c>
      <c r="I218" s="10" t="s">
        <v>113</v>
      </c>
      <c r="J218" s="14" t="str">
        <f aca="false">IFERROR(VLOOKUP(D218,Role_Mapping!$A$5:$D$31,2,FALSE()),"UNMAPPED")</f>
        <v>Software Engineer</v>
      </c>
      <c r="K218" s="14" t="str">
        <f aca="false">IFERROR(VLOOKUP(D218,Role_Mapping!$A$5:$D$31,3,FALSE()),"IN")</f>
        <v>IN</v>
      </c>
      <c r="L218" s="15" t="n">
        <f aca="false">IFERROR(SUMPRODUCT((Rate_Card!$A$5:$A$34=J218)*(Rate_Card!$B$5:$B$34=K218)*Rate_Card!$C$5:$C$34),0)</f>
        <v>455</v>
      </c>
      <c r="M218" s="10" t="n">
        <f aca="false">F218*5</f>
        <v>20</v>
      </c>
      <c r="N218" s="16" t="n">
        <f aca="false">L218*M218*H218</f>
        <v>9100</v>
      </c>
      <c r="O218" s="10" t="n">
        <f aca="false">(G218-E218)+1</f>
        <v>29</v>
      </c>
      <c r="P218" s="14" t="str">
        <f aca="false">IFERROR(VLOOKUP(D218,Role_Mapping!$A$5:$D$31,4,FALSE()),"UNMAPPED")</f>
        <v>Full Stack</v>
      </c>
      <c r="Q218" s="16" t="n">
        <f aca="false">$N218*MAX(0,(MIN($G218,DATE(2026,7,31))-MAX($E218,DATE(2026,7,1))+1))/$O218</f>
        <v>5334.48275862069</v>
      </c>
      <c r="R218" s="16" t="n">
        <f aca="false">$N218*MAX(0,(MIN($G218,DATE(2026,8,31))-MAX($E218,DATE(2026,8,1))+1))/$O218</f>
        <v>3765.51724137931</v>
      </c>
      <c r="S218" s="16" t="n">
        <f aca="false">$N218*MAX(0,(MIN($G218,DATE(2026,9,30))-MAX($E218,DATE(2026,9,1))+1))/$O218</f>
        <v>0</v>
      </c>
      <c r="T218" s="16" t="n">
        <f aca="false">$N218*MAX(0,(MIN($G218,DATE(2026,10,31))-MAX($E218,DATE(2026,10,1))+1))/$O218</f>
        <v>0</v>
      </c>
      <c r="U218" s="16" t="n">
        <f aca="false">$N218*MAX(0,(MIN($G218,DATE(2026,11,30))-MAX($E218,DATE(2026,11,1))+1))/$O218</f>
        <v>0</v>
      </c>
      <c r="V218" s="16" t="n">
        <f aca="false">$N218*MAX(0,(MIN($G218,DATE(2026,12,31))-MAX($E218,DATE(2026,12,1))+1))/$O218</f>
        <v>0</v>
      </c>
      <c r="W218" s="17" t="n">
        <f aca="false">$H218*MAX(0,(MIN($G218,DATE(2026,7,31))-MAX($E218,DATE(2026,7,1))+1))/30.4</f>
        <v>0.55921052631579</v>
      </c>
      <c r="X218" s="17" t="n">
        <f aca="false">$H218*MAX(0,(MIN($G218,DATE(2026,8,31))-MAX($E218,DATE(2026,8,1))+1))/30.4</f>
        <v>0.394736842105263</v>
      </c>
      <c r="Y218" s="17" t="n">
        <f aca="false">$H218*MAX(0,(MIN($G218,DATE(2026,9,30))-MAX($E218,DATE(2026,9,1))+1))/30.4</f>
        <v>0</v>
      </c>
      <c r="Z218" s="17" t="n">
        <f aca="false">$H218*MAX(0,(MIN($G218,DATE(2026,10,31))-MAX($E218,DATE(2026,10,1))+1))/30.4</f>
        <v>0</v>
      </c>
      <c r="AA218" s="17" t="n">
        <f aca="false">$H218*MAX(0,(MIN($G218,DATE(2026,11,30))-MAX($E218,DATE(2026,11,1))+1))/30.4</f>
        <v>0</v>
      </c>
      <c r="AB218" s="17" t="n">
        <f aca="false">$H218*MAX(0,(MIN($G218,DATE(2026,12,31))-MAX($E218,DATE(2026,12,1))+1))/30.4</f>
        <v>0</v>
      </c>
    </row>
    <row r="219" customFormat="false" ht="15" hidden="false" customHeight="false" outlineLevel="0" collapsed="false">
      <c r="A219" s="10" t="n">
        <v>161</v>
      </c>
      <c r="B219" s="10" t="n">
        <v>1</v>
      </c>
      <c r="C219" s="10" t="s">
        <v>159</v>
      </c>
      <c r="D219" s="10" t="s">
        <v>52</v>
      </c>
      <c r="E219" s="12" t="n">
        <v>46229</v>
      </c>
      <c r="F219" s="10" t="n">
        <v>5</v>
      </c>
      <c r="G219" s="12" t="n">
        <v>46264</v>
      </c>
      <c r="H219" s="13" t="n">
        <v>0.375</v>
      </c>
      <c r="I219" s="10" t="s">
        <v>113</v>
      </c>
      <c r="J219" s="14" t="str">
        <f aca="false">IFERROR(VLOOKUP(D219,Role_Mapping!$A$5:$D$31,2,FALSE()),"UNMAPPED")</f>
        <v>Associate Partner</v>
      </c>
      <c r="K219" s="14" t="str">
        <f aca="false">IFERROR(VLOOKUP(D219,Role_Mapping!$A$5:$D$31,3,FALSE()),"IN")</f>
        <v>UK</v>
      </c>
      <c r="L219" s="15" t="n">
        <f aca="false">IFERROR(SUMPRODUCT((Rate_Card!$A$5:$A$34=J219)*(Rate_Card!$B$5:$B$34=K219)*Rate_Card!$C$5:$C$34),0)</f>
        <v>3526</v>
      </c>
      <c r="M219" s="10" t="n">
        <f aca="false">F219*5</f>
        <v>25</v>
      </c>
      <c r="N219" s="16" t="n">
        <f aca="false">L219*M219*H219</f>
        <v>33056.25</v>
      </c>
      <c r="O219" s="10" t="n">
        <f aca="false">(G219-E219)+1</f>
        <v>36</v>
      </c>
      <c r="P219" s="14" t="str">
        <f aca="false">IFERROR(VLOOKUP(D219,Role_Mapping!$A$5:$D$31,4,FALSE()),"UNMAPPED")</f>
        <v>GTM</v>
      </c>
      <c r="Q219" s="16" t="n">
        <f aca="false">$N219*MAX(0,(MIN($G219,DATE(2026,7,31))-MAX($E219,DATE(2026,7,1))+1))/$O219</f>
        <v>5509.375</v>
      </c>
      <c r="R219" s="16" t="n">
        <f aca="false">$N219*MAX(0,(MIN($G219,DATE(2026,8,31))-MAX($E219,DATE(2026,8,1))+1))/$O219</f>
        <v>27546.875</v>
      </c>
      <c r="S219" s="16" t="n">
        <f aca="false">$N219*MAX(0,(MIN($G219,DATE(2026,9,30))-MAX($E219,DATE(2026,9,1))+1))/$O219</f>
        <v>0</v>
      </c>
      <c r="T219" s="16" t="n">
        <f aca="false">$N219*MAX(0,(MIN($G219,DATE(2026,10,31))-MAX($E219,DATE(2026,10,1))+1))/$O219</f>
        <v>0</v>
      </c>
      <c r="U219" s="16" t="n">
        <f aca="false">$N219*MAX(0,(MIN($G219,DATE(2026,11,30))-MAX($E219,DATE(2026,11,1))+1))/$O219</f>
        <v>0</v>
      </c>
      <c r="V219" s="16" t="n">
        <f aca="false">$N219*MAX(0,(MIN($G219,DATE(2026,12,31))-MAX($E219,DATE(2026,12,1))+1))/$O219</f>
        <v>0</v>
      </c>
      <c r="W219" s="17" t="n">
        <f aca="false">$H219*MAX(0,(MIN($G219,DATE(2026,7,31))-MAX($E219,DATE(2026,7,1))+1))/30.4</f>
        <v>0.0740131578947369</v>
      </c>
      <c r="X219" s="17" t="n">
        <f aca="false">$H219*MAX(0,(MIN($G219,DATE(2026,8,31))-MAX($E219,DATE(2026,8,1))+1))/30.4</f>
        <v>0.370065789473684</v>
      </c>
      <c r="Y219" s="17" t="n">
        <f aca="false">$H219*MAX(0,(MIN($G219,DATE(2026,9,30))-MAX($E219,DATE(2026,9,1))+1))/30.4</f>
        <v>0</v>
      </c>
      <c r="Z219" s="17" t="n">
        <f aca="false">$H219*MAX(0,(MIN($G219,DATE(2026,10,31))-MAX($E219,DATE(2026,10,1))+1))/30.4</f>
        <v>0</v>
      </c>
      <c r="AA219" s="17" t="n">
        <f aca="false">$H219*MAX(0,(MIN($G219,DATE(2026,11,30))-MAX($E219,DATE(2026,11,1))+1))/30.4</f>
        <v>0</v>
      </c>
      <c r="AB219" s="17" t="n">
        <f aca="false">$H219*MAX(0,(MIN($G219,DATE(2026,12,31))-MAX($E219,DATE(2026,12,1))+1))/30.4</f>
        <v>0</v>
      </c>
    </row>
    <row r="220" customFormat="false" ht="15" hidden="false" customHeight="false" outlineLevel="0" collapsed="false">
      <c r="A220" s="10" t="n">
        <v>161</v>
      </c>
      <c r="B220" s="10" t="n">
        <v>1</v>
      </c>
      <c r="C220" s="10" t="s">
        <v>159</v>
      </c>
      <c r="D220" s="10" t="s">
        <v>64</v>
      </c>
      <c r="E220" s="12" t="n">
        <v>46229</v>
      </c>
      <c r="F220" s="10" t="n">
        <v>5</v>
      </c>
      <c r="G220" s="12" t="n">
        <v>46264</v>
      </c>
      <c r="H220" s="13" t="n">
        <v>0.25</v>
      </c>
      <c r="I220" s="10" t="s">
        <v>113</v>
      </c>
      <c r="J220" s="14" t="str">
        <f aca="false">IFERROR(VLOOKUP(D220,Role_Mapping!$A$5:$D$31,2,FALSE()),"UNMAPPED")</f>
        <v>Principal Technology Architect</v>
      </c>
      <c r="K220" s="14" t="str">
        <f aca="false">IFERROR(VLOOKUP(D220,Role_Mapping!$A$5:$D$31,3,FALSE()),"IN")</f>
        <v>IN</v>
      </c>
      <c r="L220" s="15" t="n">
        <f aca="false">IFERROR(SUMPRODUCT((Rate_Card!$A$5:$A$34=J220)*(Rate_Card!$B$5:$B$34=K220)*Rate_Card!$C$5:$C$34),0)</f>
        <v>845</v>
      </c>
      <c r="M220" s="10" t="n">
        <f aca="false">F220*5</f>
        <v>25</v>
      </c>
      <c r="N220" s="16" t="n">
        <f aca="false">L220*M220*H220</f>
        <v>5281.25</v>
      </c>
      <c r="O220" s="10" t="n">
        <f aca="false">(G220-E220)+1</f>
        <v>36</v>
      </c>
      <c r="P220" s="14" t="str">
        <f aca="false">IFERROR(VLOOKUP(D220,Role_Mapping!$A$5:$D$31,4,FALSE()),"UNMAPPED")</f>
        <v>Full Stack</v>
      </c>
      <c r="Q220" s="16" t="n">
        <f aca="false">$N220*MAX(0,(MIN($G220,DATE(2026,7,31))-MAX($E220,DATE(2026,7,1))+1))/$O220</f>
        <v>880.208333333333</v>
      </c>
      <c r="R220" s="16" t="n">
        <f aca="false">$N220*MAX(0,(MIN($G220,DATE(2026,8,31))-MAX($E220,DATE(2026,8,1))+1))/$O220</f>
        <v>4401.04166666667</v>
      </c>
      <c r="S220" s="16" t="n">
        <f aca="false">$N220*MAX(0,(MIN($G220,DATE(2026,9,30))-MAX($E220,DATE(2026,9,1))+1))/$O220</f>
        <v>0</v>
      </c>
      <c r="T220" s="16" t="n">
        <f aca="false">$N220*MAX(0,(MIN($G220,DATE(2026,10,31))-MAX($E220,DATE(2026,10,1))+1))/$O220</f>
        <v>0</v>
      </c>
      <c r="U220" s="16" t="n">
        <f aca="false">$N220*MAX(0,(MIN($G220,DATE(2026,11,30))-MAX($E220,DATE(2026,11,1))+1))/$O220</f>
        <v>0</v>
      </c>
      <c r="V220" s="16" t="n">
        <f aca="false">$N220*MAX(0,(MIN($G220,DATE(2026,12,31))-MAX($E220,DATE(2026,12,1))+1))/$O220</f>
        <v>0</v>
      </c>
      <c r="W220" s="17" t="n">
        <f aca="false">$H220*MAX(0,(MIN($G220,DATE(2026,7,31))-MAX($E220,DATE(2026,7,1))+1))/30.4</f>
        <v>0.0493421052631579</v>
      </c>
      <c r="X220" s="17" t="n">
        <f aca="false">$H220*MAX(0,(MIN($G220,DATE(2026,8,31))-MAX($E220,DATE(2026,8,1))+1))/30.4</f>
        <v>0.24671052631579</v>
      </c>
      <c r="Y220" s="17" t="n">
        <f aca="false">$H220*MAX(0,(MIN($G220,DATE(2026,9,30))-MAX($E220,DATE(2026,9,1))+1))/30.4</f>
        <v>0</v>
      </c>
      <c r="Z220" s="17" t="n">
        <f aca="false">$H220*MAX(0,(MIN($G220,DATE(2026,10,31))-MAX($E220,DATE(2026,10,1))+1))/30.4</f>
        <v>0</v>
      </c>
      <c r="AA220" s="17" t="n">
        <f aca="false">$H220*MAX(0,(MIN($G220,DATE(2026,11,30))-MAX($E220,DATE(2026,11,1))+1))/30.4</f>
        <v>0</v>
      </c>
      <c r="AB220" s="17" t="n">
        <f aca="false">$H220*MAX(0,(MIN($G220,DATE(2026,12,31))-MAX($E220,DATE(2026,12,1))+1))/30.4</f>
        <v>0</v>
      </c>
    </row>
    <row r="221" customFormat="false" ht="15" hidden="false" customHeight="false" outlineLevel="0" collapsed="false">
      <c r="A221" s="10" t="n">
        <v>161</v>
      </c>
      <c r="B221" s="10" t="n">
        <v>1</v>
      </c>
      <c r="C221" s="10" t="s">
        <v>159</v>
      </c>
      <c r="D221" s="10" t="s">
        <v>73</v>
      </c>
      <c r="E221" s="12" t="n">
        <v>46229</v>
      </c>
      <c r="F221" s="10" t="n">
        <v>5</v>
      </c>
      <c r="G221" s="12" t="n">
        <v>46264</v>
      </c>
      <c r="H221" s="13" t="n">
        <v>0.5</v>
      </c>
      <c r="I221" s="10" t="s">
        <v>113</v>
      </c>
      <c r="J221" s="14" t="str">
        <f aca="false">IFERROR(VLOOKUP(D221,Role_Mapping!$A$5:$D$31,2,FALSE()),"UNMAPPED")</f>
        <v>Senior Consultant</v>
      </c>
      <c r="K221" s="14" t="str">
        <f aca="false">IFERROR(VLOOKUP(D221,Role_Mapping!$A$5:$D$31,3,FALSE()),"IN")</f>
        <v>UK</v>
      </c>
      <c r="L221" s="15" t="n">
        <f aca="false">IFERROR(SUMPRODUCT((Rate_Card!$A$5:$A$34=J221)*(Rate_Card!$B$5:$B$34=K221)*Rate_Card!$C$5:$C$34),0)</f>
        <v>2798</v>
      </c>
      <c r="M221" s="10" t="n">
        <f aca="false">F221*5</f>
        <v>25</v>
      </c>
      <c r="N221" s="16" t="n">
        <f aca="false">L221*M221*H221</f>
        <v>34975</v>
      </c>
      <c r="O221" s="10" t="n">
        <f aca="false">(G221-E221)+1</f>
        <v>36</v>
      </c>
      <c r="P221" s="14" t="str">
        <f aca="false">IFERROR(VLOOKUP(D221,Role_Mapping!$A$5:$D$31,4,FALSE()),"UNMAPPED")</f>
        <v>Consulting</v>
      </c>
      <c r="Q221" s="16" t="n">
        <f aca="false">$N221*MAX(0,(MIN($G221,DATE(2026,7,31))-MAX($E221,DATE(2026,7,1))+1))/$O221</f>
        <v>5829.16666666667</v>
      </c>
      <c r="R221" s="16" t="n">
        <f aca="false">$N221*MAX(0,(MIN($G221,DATE(2026,8,31))-MAX($E221,DATE(2026,8,1))+1))/$O221</f>
        <v>29145.8333333333</v>
      </c>
      <c r="S221" s="16" t="n">
        <f aca="false">$N221*MAX(0,(MIN($G221,DATE(2026,9,30))-MAX($E221,DATE(2026,9,1))+1))/$O221</f>
        <v>0</v>
      </c>
      <c r="T221" s="16" t="n">
        <f aca="false">$N221*MAX(0,(MIN($G221,DATE(2026,10,31))-MAX($E221,DATE(2026,10,1))+1))/$O221</f>
        <v>0</v>
      </c>
      <c r="U221" s="16" t="n">
        <f aca="false">$N221*MAX(0,(MIN($G221,DATE(2026,11,30))-MAX($E221,DATE(2026,11,1))+1))/$O221</f>
        <v>0</v>
      </c>
      <c r="V221" s="16" t="n">
        <f aca="false">$N221*MAX(0,(MIN($G221,DATE(2026,12,31))-MAX($E221,DATE(2026,12,1))+1))/$O221</f>
        <v>0</v>
      </c>
      <c r="W221" s="17" t="n">
        <f aca="false">$H221*MAX(0,(MIN($G221,DATE(2026,7,31))-MAX($E221,DATE(2026,7,1))+1))/30.4</f>
        <v>0.0986842105263158</v>
      </c>
      <c r="X221" s="17" t="n">
        <f aca="false">$H221*MAX(0,(MIN($G221,DATE(2026,8,31))-MAX($E221,DATE(2026,8,1))+1))/30.4</f>
        <v>0.493421052631579</v>
      </c>
      <c r="Y221" s="17" t="n">
        <f aca="false">$H221*MAX(0,(MIN($G221,DATE(2026,9,30))-MAX($E221,DATE(2026,9,1))+1))/30.4</f>
        <v>0</v>
      </c>
      <c r="Z221" s="17" t="n">
        <f aca="false">$H221*MAX(0,(MIN($G221,DATE(2026,10,31))-MAX($E221,DATE(2026,10,1))+1))/30.4</f>
        <v>0</v>
      </c>
      <c r="AA221" s="17" t="n">
        <f aca="false">$H221*MAX(0,(MIN($G221,DATE(2026,11,30))-MAX($E221,DATE(2026,11,1))+1))/30.4</f>
        <v>0</v>
      </c>
      <c r="AB221" s="17" t="n">
        <f aca="false">$H221*MAX(0,(MIN($G221,DATE(2026,12,31))-MAX($E221,DATE(2026,12,1))+1))/30.4</f>
        <v>0</v>
      </c>
    </row>
    <row r="222" customFormat="false" ht="15" hidden="false" customHeight="false" outlineLevel="0" collapsed="false">
      <c r="A222" s="10" t="n">
        <v>161</v>
      </c>
      <c r="B222" s="10" t="n">
        <v>1</v>
      </c>
      <c r="C222" s="10" t="s">
        <v>159</v>
      </c>
      <c r="D222" s="10" t="s">
        <v>67</v>
      </c>
      <c r="E222" s="12" t="n">
        <v>46229</v>
      </c>
      <c r="F222" s="10" t="n">
        <v>5</v>
      </c>
      <c r="G222" s="12" t="n">
        <v>46264</v>
      </c>
      <c r="H222" s="13" t="n">
        <v>1</v>
      </c>
      <c r="I222" s="10" t="s">
        <v>113</v>
      </c>
      <c r="J222" s="14" t="str">
        <f aca="false">IFERROR(VLOOKUP(D222,Role_Mapping!$A$5:$D$31,2,FALSE()),"UNMAPPED")</f>
        <v>Senior Associate Consultant</v>
      </c>
      <c r="K222" s="14" t="str">
        <f aca="false">IFERROR(VLOOKUP(D222,Role_Mapping!$A$5:$D$31,3,FALSE()),"IN")</f>
        <v>IN</v>
      </c>
      <c r="L222" s="15" t="n">
        <f aca="false">IFERROR(SUMPRODUCT((Rate_Card!$A$5:$A$34=J222)*(Rate_Card!$B$5:$B$34=K222)*Rate_Card!$C$5:$C$34),0)</f>
        <v>683</v>
      </c>
      <c r="M222" s="10" t="n">
        <f aca="false">F222*5</f>
        <v>25</v>
      </c>
      <c r="N222" s="16" t="n">
        <f aca="false">L222*M222*H222</f>
        <v>17075</v>
      </c>
      <c r="O222" s="10" t="n">
        <f aca="false">(G222-E222)+1</f>
        <v>36</v>
      </c>
      <c r="P222" s="14" t="str">
        <f aca="false">IFERROR(VLOOKUP(D222,Role_Mapping!$A$5:$D$31,4,FALSE()),"UNMAPPED")</f>
        <v>Consulting</v>
      </c>
      <c r="Q222" s="16" t="n">
        <f aca="false">$N222*MAX(0,(MIN($G222,DATE(2026,7,31))-MAX($E222,DATE(2026,7,1))+1))/$O222</f>
        <v>2845.83333333333</v>
      </c>
      <c r="R222" s="16" t="n">
        <f aca="false">$N222*MAX(0,(MIN($G222,DATE(2026,8,31))-MAX($E222,DATE(2026,8,1))+1))/$O222</f>
        <v>14229.1666666667</v>
      </c>
      <c r="S222" s="16" t="n">
        <f aca="false">$N222*MAX(0,(MIN($G222,DATE(2026,9,30))-MAX($E222,DATE(2026,9,1))+1))/$O222</f>
        <v>0</v>
      </c>
      <c r="T222" s="16" t="n">
        <f aca="false">$N222*MAX(0,(MIN($G222,DATE(2026,10,31))-MAX($E222,DATE(2026,10,1))+1))/$O222</f>
        <v>0</v>
      </c>
      <c r="U222" s="16" t="n">
        <f aca="false">$N222*MAX(0,(MIN($G222,DATE(2026,11,30))-MAX($E222,DATE(2026,11,1))+1))/$O222</f>
        <v>0</v>
      </c>
      <c r="V222" s="16" t="n">
        <f aca="false">$N222*MAX(0,(MIN($G222,DATE(2026,12,31))-MAX($E222,DATE(2026,12,1))+1))/$O222</f>
        <v>0</v>
      </c>
      <c r="W222" s="17" t="n">
        <f aca="false">$H222*MAX(0,(MIN($G222,DATE(2026,7,31))-MAX($E222,DATE(2026,7,1))+1))/30.4</f>
        <v>0.197368421052632</v>
      </c>
      <c r="X222" s="17" t="n">
        <f aca="false">$H222*MAX(0,(MIN($G222,DATE(2026,8,31))-MAX($E222,DATE(2026,8,1))+1))/30.4</f>
        <v>0.986842105263158</v>
      </c>
      <c r="Y222" s="17" t="n">
        <f aca="false">$H222*MAX(0,(MIN($G222,DATE(2026,9,30))-MAX($E222,DATE(2026,9,1))+1))/30.4</f>
        <v>0</v>
      </c>
      <c r="Z222" s="17" t="n">
        <f aca="false">$H222*MAX(0,(MIN($G222,DATE(2026,10,31))-MAX($E222,DATE(2026,10,1))+1))/30.4</f>
        <v>0</v>
      </c>
      <c r="AA222" s="17" t="n">
        <f aca="false">$H222*MAX(0,(MIN($G222,DATE(2026,11,30))-MAX($E222,DATE(2026,11,1))+1))/30.4</f>
        <v>0</v>
      </c>
      <c r="AB222" s="17" t="n">
        <f aca="false">$H222*MAX(0,(MIN($G222,DATE(2026,12,31))-MAX($E222,DATE(2026,12,1))+1))/30.4</f>
        <v>0</v>
      </c>
    </row>
    <row r="223" customFormat="false" ht="15" hidden="false" customHeight="false" outlineLevel="0" collapsed="false">
      <c r="A223" s="10" t="n">
        <v>161</v>
      </c>
      <c r="B223" s="10" t="n">
        <v>1</v>
      </c>
      <c r="C223" s="10" t="s">
        <v>159</v>
      </c>
      <c r="D223" s="10" t="s">
        <v>67</v>
      </c>
      <c r="E223" s="12" t="n">
        <v>46229</v>
      </c>
      <c r="F223" s="10" t="n">
        <v>5</v>
      </c>
      <c r="G223" s="12" t="n">
        <v>46264</v>
      </c>
      <c r="H223" s="13" t="n">
        <v>1</v>
      </c>
      <c r="I223" s="10" t="s">
        <v>113</v>
      </c>
      <c r="J223" s="14" t="str">
        <f aca="false">IFERROR(VLOOKUP(D223,Role_Mapping!$A$5:$D$31,2,FALSE()),"UNMAPPED")</f>
        <v>Senior Associate Consultant</v>
      </c>
      <c r="K223" s="14" t="str">
        <f aca="false">IFERROR(VLOOKUP(D223,Role_Mapping!$A$5:$D$31,3,FALSE()),"IN")</f>
        <v>IN</v>
      </c>
      <c r="L223" s="15" t="n">
        <f aca="false">IFERROR(SUMPRODUCT((Rate_Card!$A$5:$A$34=J223)*(Rate_Card!$B$5:$B$34=K223)*Rate_Card!$C$5:$C$34),0)</f>
        <v>683</v>
      </c>
      <c r="M223" s="10" t="n">
        <f aca="false">F223*5</f>
        <v>25</v>
      </c>
      <c r="N223" s="16" t="n">
        <f aca="false">L223*M223*H223</f>
        <v>17075</v>
      </c>
      <c r="O223" s="10" t="n">
        <f aca="false">(G223-E223)+1</f>
        <v>36</v>
      </c>
      <c r="P223" s="14" t="str">
        <f aca="false">IFERROR(VLOOKUP(D223,Role_Mapping!$A$5:$D$31,4,FALSE()),"UNMAPPED")</f>
        <v>Consulting</v>
      </c>
      <c r="Q223" s="16" t="n">
        <f aca="false">$N223*MAX(0,(MIN($G223,DATE(2026,7,31))-MAX($E223,DATE(2026,7,1))+1))/$O223</f>
        <v>2845.83333333333</v>
      </c>
      <c r="R223" s="16" t="n">
        <f aca="false">$N223*MAX(0,(MIN($G223,DATE(2026,8,31))-MAX($E223,DATE(2026,8,1))+1))/$O223</f>
        <v>14229.1666666667</v>
      </c>
      <c r="S223" s="16" t="n">
        <f aca="false">$N223*MAX(0,(MIN($G223,DATE(2026,9,30))-MAX($E223,DATE(2026,9,1))+1))/$O223</f>
        <v>0</v>
      </c>
      <c r="T223" s="16" t="n">
        <f aca="false">$N223*MAX(0,(MIN($G223,DATE(2026,10,31))-MAX($E223,DATE(2026,10,1))+1))/$O223</f>
        <v>0</v>
      </c>
      <c r="U223" s="16" t="n">
        <f aca="false">$N223*MAX(0,(MIN($G223,DATE(2026,11,30))-MAX($E223,DATE(2026,11,1))+1))/$O223</f>
        <v>0</v>
      </c>
      <c r="V223" s="16" t="n">
        <f aca="false">$N223*MAX(0,(MIN($G223,DATE(2026,12,31))-MAX($E223,DATE(2026,12,1))+1))/$O223</f>
        <v>0</v>
      </c>
      <c r="W223" s="17" t="n">
        <f aca="false">$H223*MAX(0,(MIN($G223,DATE(2026,7,31))-MAX($E223,DATE(2026,7,1))+1))/30.4</f>
        <v>0.197368421052632</v>
      </c>
      <c r="X223" s="17" t="n">
        <f aca="false">$H223*MAX(0,(MIN($G223,DATE(2026,8,31))-MAX($E223,DATE(2026,8,1))+1))/30.4</f>
        <v>0.986842105263158</v>
      </c>
      <c r="Y223" s="17" t="n">
        <f aca="false">$H223*MAX(0,(MIN($G223,DATE(2026,9,30))-MAX($E223,DATE(2026,9,1))+1))/30.4</f>
        <v>0</v>
      </c>
      <c r="Z223" s="17" t="n">
        <f aca="false">$H223*MAX(0,(MIN($G223,DATE(2026,10,31))-MAX($E223,DATE(2026,10,1))+1))/30.4</f>
        <v>0</v>
      </c>
      <c r="AA223" s="17" t="n">
        <f aca="false">$H223*MAX(0,(MIN($G223,DATE(2026,11,30))-MAX($E223,DATE(2026,11,1))+1))/30.4</f>
        <v>0</v>
      </c>
      <c r="AB223" s="17" t="n">
        <f aca="false">$H223*MAX(0,(MIN($G223,DATE(2026,12,31))-MAX($E223,DATE(2026,12,1))+1))/30.4</f>
        <v>0</v>
      </c>
    </row>
    <row r="224" customFormat="false" ht="15" hidden="false" customHeight="false" outlineLevel="0" collapsed="false">
      <c r="A224" s="10" t="n">
        <v>161</v>
      </c>
      <c r="B224" s="10" t="n">
        <v>1</v>
      </c>
      <c r="C224" s="10" t="s">
        <v>159</v>
      </c>
      <c r="D224" s="10" t="s">
        <v>80</v>
      </c>
      <c r="E224" s="12" t="n">
        <v>46229</v>
      </c>
      <c r="F224" s="10" t="n">
        <v>5</v>
      </c>
      <c r="G224" s="12" t="n">
        <v>46264</v>
      </c>
      <c r="H224" s="13" t="n">
        <v>1</v>
      </c>
      <c r="I224" s="10" t="s">
        <v>113</v>
      </c>
      <c r="J224" s="14" t="str">
        <f aca="false">IFERROR(VLOOKUP(D224,Role_Mapping!$A$5:$D$31,2,FALSE()),"UNMAPPED")</f>
        <v>Solutions Consultant</v>
      </c>
      <c r="K224" s="14" t="str">
        <f aca="false">IFERROR(VLOOKUP(D224,Role_Mapping!$A$5:$D$31,3,FALSE()),"IN")</f>
        <v>IN</v>
      </c>
      <c r="L224" s="15" t="n">
        <f aca="false">IFERROR(SUMPRODUCT((Rate_Card!$A$5:$A$34=J224)*(Rate_Card!$B$5:$B$34=K224)*Rate_Card!$C$5:$C$34),0)</f>
        <v>683</v>
      </c>
      <c r="M224" s="10" t="n">
        <f aca="false">F224*5</f>
        <v>25</v>
      </c>
      <c r="N224" s="16" t="n">
        <f aca="false">L224*M224*H224</f>
        <v>17075</v>
      </c>
      <c r="O224" s="10" t="n">
        <f aca="false">(G224-E224)+1</f>
        <v>36</v>
      </c>
      <c r="P224" s="14" t="str">
        <f aca="false">IFERROR(VLOOKUP(D224,Role_Mapping!$A$5:$D$31,4,FALSE()),"UNMAPPED")</f>
        <v>Power BI &amp; Consulting</v>
      </c>
      <c r="Q224" s="16" t="n">
        <f aca="false">$N224*MAX(0,(MIN($G224,DATE(2026,7,31))-MAX($E224,DATE(2026,7,1))+1))/$O224</f>
        <v>2845.83333333333</v>
      </c>
      <c r="R224" s="16" t="n">
        <f aca="false">$N224*MAX(0,(MIN($G224,DATE(2026,8,31))-MAX($E224,DATE(2026,8,1))+1))/$O224</f>
        <v>14229.1666666667</v>
      </c>
      <c r="S224" s="16" t="n">
        <f aca="false">$N224*MAX(0,(MIN($G224,DATE(2026,9,30))-MAX($E224,DATE(2026,9,1))+1))/$O224</f>
        <v>0</v>
      </c>
      <c r="T224" s="16" t="n">
        <f aca="false">$N224*MAX(0,(MIN($G224,DATE(2026,10,31))-MAX($E224,DATE(2026,10,1))+1))/$O224</f>
        <v>0</v>
      </c>
      <c r="U224" s="16" t="n">
        <f aca="false">$N224*MAX(0,(MIN($G224,DATE(2026,11,30))-MAX($E224,DATE(2026,11,1))+1))/$O224</f>
        <v>0</v>
      </c>
      <c r="V224" s="16" t="n">
        <f aca="false">$N224*MAX(0,(MIN($G224,DATE(2026,12,31))-MAX($E224,DATE(2026,12,1))+1))/$O224</f>
        <v>0</v>
      </c>
      <c r="W224" s="17" t="n">
        <f aca="false">$H224*MAX(0,(MIN($G224,DATE(2026,7,31))-MAX($E224,DATE(2026,7,1))+1))/30.4</f>
        <v>0.197368421052632</v>
      </c>
      <c r="X224" s="17" t="n">
        <f aca="false">$H224*MAX(0,(MIN($G224,DATE(2026,8,31))-MAX($E224,DATE(2026,8,1))+1))/30.4</f>
        <v>0.986842105263158</v>
      </c>
      <c r="Y224" s="17" t="n">
        <f aca="false">$H224*MAX(0,(MIN($G224,DATE(2026,9,30))-MAX($E224,DATE(2026,9,1))+1))/30.4</f>
        <v>0</v>
      </c>
      <c r="Z224" s="17" t="n">
        <f aca="false">$H224*MAX(0,(MIN($G224,DATE(2026,10,31))-MAX($E224,DATE(2026,10,1))+1))/30.4</f>
        <v>0</v>
      </c>
      <c r="AA224" s="17" t="n">
        <f aca="false">$H224*MAX(0,(MIN($G224,DATE(2026,11,30))-MAX($E224,DATE(2026,11,1))+1))/30.4</f>
        <v>0</v>
      </c>
      <c r="AB224" s="17" t="n">
        <f aca="false">$H224*MAX(0,(MIN($G224,DATE(2026,12,31))-MAX($E224,DATE(2026,12,1))+1))/30.4</f>
        <v>0</v>
      </c>
    </row>
    <row r="225" customFormat="false" ht="15" hidden="false" customHeight="false" outlineLevel="0" collapsed="false">
      <c r="A225" s="10" t="n">
        <v>161</v>
      </c>
      <c r="B225" s="10" t="n">
        <v>1</v>
      </c>
      <c r="C225" s="10" t="s">
        <v>159</v>
      </c>
      <c r="D225" s="10" t="s">
        <v>58</v>
      </c>
      <c r="E225" s="12" t="n">
        <v>46229</v>
      </c>
      <c r="F225" s="10" t="n">
        <v>5</v>
      </c>
      <c r="G225" s="12" t="n">
        <v>46264</v>
      </c>
      <c r="H225" s="13" t="n">
        <v>1</v>
      </c>
      <c r="I225" s="10" t="s">
        <v>113</v>
      </c>
      <c r="J225" s="14" t="str">
        <f aca="false">IFERROR(VLOOKUP(D225,Role_Mapping!$A$5:$D$31,2,FALSE()),"UNMAPPED")</f>
        <v>Solutions Enabler</v>
      </c>
      <c r="K225" s="14" t="str">
        <f aca="false">IFERROR(VLOOKUP(D225,Role_Mapping!$A$5:$D$31,3,FALSE()),"IN")</f>
        <v>IN</v>
      </c>
      <c r="L225" s="15" t="n">
        <f aca="false">IFERROR(SUMPRODUCT((Rate_Card!$A$5:$A$34=J225)*(Rate_Card!$B$5:$B$34=K225)*Rate_Card!$C$5:$C$34),0)</f>
        <v>683</v>
      </c>
      <c r="M225" s="10" t="n">
        <f aca="false">F225*5</f>
        <v>25</v>
      </c>
      <c r="N225" s="16" t="n">
        <f aca="false">L225*M225*H225</f>
        <v>17075</v>
      </c>
      <c r="O225" s="10" t="n">
        <f aca="false">(G225-E225)+1</f>
        <v>36</v>
      </c>
      <c r="P225" s="14" t="str">
        <f aca="false">IFERROR(VLOOKUP(D225,Role_Mapping!$A$5:$D$31,4,FALSE()),"UNMAPPED")</f>
        <v>Data Engineering</v>
      </c>
      <c r="Q225" s="16" t="n">
        <f aca="false">$N225*MAX(0,(MIN($G225,DATE(2026,7,31))-MAX($E225,DATE(2026,7,1))+1))/$O225</f>
        <v>2845.83333333333</v>
      </c>
      <c r="R225" s="16" t="n">
        <f aca="false">$N225*MAX(0,(MIN($G225,DATE(2026,8,31))-MAX($E225,DATE(2026,8,1))+1))/$O225</f>
        <v>14229.1666666667</v>
      </c>
      <c r="S225" s="16" t="n">
        <f aca="false">$N225*MAX(0,(MIN($G225,DATE(2026,9,30))-MAX($E225,DATE(2026,9,1))+1))/$O225</f>
        <v>0</v>
      </c>
      <c r="T225" s="16" t="n">
        <f aca="false">$N225*MAX(0,(MIN($G225,DATE(2026,10,31))-MAX($E225,DATE(2026,10,1))+1))/$O225</f>
        <v>0</v>
      </c>
      <c r="U225" s="16" t="n">
        <f aca="false">$N225*MAX(0,(MIN($G225,DATE(2026,11,30))-MAX($E225,DATE(2026,11,1))+1))/$O225</f>
        <v>0</v>
      </c>
      <c r="V225" s="16" t="n">
        <f aca="false">$N225*MAX(0,(MIN($G225,DATE(2026,12,31))-MAX($E225,DATE(2026,12,1))+1))/$O225</f>
        <v>0</v>
      </c>
      <c r="W225" s="17" t="n">
        <f aca="false">$H225*MAX(0,(MIN($G225,DATE(2026,7,31))-MAX($E225,DATE(2026,7,1))+1))/30.4</f>
        <v>0.197368421052632</v>
      </c>
      <c r="X225" s="17" t="n">
        <f aca="false">$H225*MAX(0,(MIN($G225,DATE(2026,8,31))-MAX($E225,DATE(2026,8,1))+1))/30.4</f>
        <v>0.986842105263158</v>
      </c>
      <c r="Y225" s="17" t="n">
        <f aca="false">$H225*MAX(0,(MIN($G225,DATE(2026,9,30))-MAX($E225,DATE(2026,9,1))+1))/30.4</f>
        <v>0</v>
      </c>
      <c r="Z225" s="17" t="n">
        <f aca="false">$H225*MAX(0,(MIN($G225,DATE(2026,10,31))-MAX($E225,DATE(2026,10,1))+1))/30.4</f>
        <v>0</v>
      </c>
      <c r="AA225" s="17" t="n">
        <f aca="false">$H225*MAX(0,(MIN($G225,DATE(2026,11,30))-MAX($E225,DATE(2026,11,1))+1))/30.4</f>
        <v>0</v>
      </c>
      <c r="AB225" s="17" t="n">
        <f aca="false">$H225*MAX(0,(MIN($G225,DATE(2026,12,31))-MAX($E225,DATE(2026,12,1))+1))/30.4</f>
        <v>0</v>
      </c>
    </row>
    <row r="226" customFormat="false" ht="15" hidden="false" customHeight="false" outlineLevel="0" collapsed="false">
      <c r="A226" s="10" t="n">
        <v>161</v>
      </c>
      <c r="B226" s="10" t="n">
        <v>1</v>
      </c>
      <c r="C226" s="10" t="s">
        <v>159</v>
      </c>
      <c r="D226" s="10" t="s">
        <v>76</v>
      </c>
      <c r="E226" s="12" t="n">
        <v>46229</v>
      </c>
      <c r="F226" s="10" t="n">
        <v>5</v>
      </c>
      <c r="G226" s="12" t="n">
        <v>46264</v>
      </c>
      <c r="H226" s="13" t="n">
        <v>1</v>
      </c>
      <c r="I226" s="10" t="s">
        <v>113</v>
      </c>
      <c r="J226" s="14" t="str">
        <f aca="false">IFERROR(VLOOKUP(D226,Role_Mapping!$A$5:$D$31,2,FALSE()),"UNMAPPED")</f>
        <v>Senior Software Engineer</v>
      </c>
      <c r="K226" s="14" t="str">
        <f aca="false">IFERROR(VLOOKUP(D226,Role_Mapping!$A$5:$D$31,3,FALSE()),"IN")</f>
        <v>IN</v>
      </c>
      <c r="L226" s="15" t="n">
        <f aca="false">IFERROR(SUMPRODUCT((Rate_Card!$A$5:$A$34=J226)*(Rate_Card!$B$5:$B$34=K226)*Rate_Card!$C$5:$C$34),0)</f>
        <v>585</v>
      </c>
      <c r="M226" s="10" t="n">
        <f aca="false">F226*5</f>
        <v>25</v>
      </c>
      <c r="N226" s="16" t="n">
        <f aca="false">L226*M226*H226</f>
        <v>14625</v>
      </c>
      <c r="O226" s="10" t="n">
        <f aca="false">(G226-E226)+1</f>
        <v>36</v>
      </c>
      <c r="P226" s="14" t="str">
        <f aca="false">IFERROR(VLOOKUP(D226,Role_Mapping!$A$5:$D$31,4,FALSE()),"UNMAPPED")</f>
        <v>Full Stack</v>
      </c>
      <c r="Q226" s="16" t="n">
        <f aca="false">$N226*MAX(0,(MIN($G226,DATE(2026,7,31))-MAX($E226,DATE(2026,7,1))+1))/$O226</f>
        <v>2437.5</v>
      </c>
      <c r="R226" s="16" t="n">
        <f aca="false">$N226*MAX(0,(MIN($G226,DATE(2026,8,31))-MAX($E226,DATE(2026,8,1))+1))/$O226</f>
        <v>12187.5</v>
      </c>
      <c r="S226" s="16" t="n">
        <f aca="false">$N226*MAX(0,(MIN($G226,DATE(2026,9,30))-MAX($E226,DATE(2026,9,1))+1))/$O226</f>
        <v>0</v>
      </c>
      <c r="T226" s="16" t="n">
        <f aca="false">$N226*MAX(0,(MIN($G226,DATE(2026,10,31))-MAX($E226,DATE(2026,10,1))+1))/$O226</f>
        <v>0</v>
      </c>
      <c r="U226" s="16" t="n">
        <f aca="false">$N226*MAX(0,(MIN($G226,DATE(2026,11,30))-MAX($E226,DATE(2026,11,1))+1))/$O226</f>
        <v>0</v>
      </c>
      <c r="V226" s="16" t="n">
        <f aca="false">$N226*MAX(0,(MIN($G226,DATE(2026,12,31))-MAX($E226,DATE(2026,12,1))+1))/$O226</f>
        <v>0</v>
      </c>
      <c r="W226" s="17" t="n">
        <f aca="false">$H226*MAX(0,(MIN($G226,DATE(2026,7,31))-MAX($E226,DATE(2026,7,1))+1))/30.4</f>
        <v>0.197368421052632</v>
      </c>
      <c r="X226" s="17" t="n">
        <f aca="false">$H226*MAX(0,(MIN($G226,DATE(2026,8,31))-MAX($E226,DATE(2026,8,1))+1))/30.4</f>
        <v>0.986842105263158</v>
      </c>
      <c r="Y226" s="17" t="n">
        <f aca="false">$H226*MAX(0,(MIN($G226,DATE(2026,9,30))-MAX($E226,DATE(2026,9,1))+1))/30.4</f>
        <v>0</v>
      </c>
      <c r="Z226" s="17" t="n">
        <f aca="false">$H226*MAX(0,(MIN($G226,DATE(2026,10,31))-MAX($E226,DATE(2026,10,1))+1))/30.4</f>
        <v>0</v>
      </c>
      <c r="AA226" s="17" t="n">
        <f aca="false">$H226*MAX(0,(MIN($G226,DATE(2026,11,30))-MAX($E226,DATE(2026,11,1))+1))/30.4</f>
        <v>0</v>
      </c>
      <c r="AB226" s="17" t="n">
        <f aca="false">$H226*MAX(0,(MIN($G226,DATE(2026,12,31))-MAX($E226,DATE(2026,12,1))+1))/30.4</f>
        <v>0</v>
      </c>
    </row>
    <row r="227" customFormat="false" ht="15" hidden="false" customHeight="false" outlineLevel="0" collapsed="false">
      <c r="A227" s="10" t="n">
        <v>162</v>
      </c>
      <c r="B227" s="10" t="n">
        <v>2</v>
      </c>
      <c r="C227" s="10" t="s">
        <v>160</v>
      </c>
      <c r="D227" s="10" t="s">
        <v>49</v>
      </c>
      <c r="E227" s="12" t="n">
        <v>46223</v>
      </c>
      <c r="F227" s="10" t="n">
        <v>5</v>
      </c>
      <c r="G227" s="12" t="n">
        <v>46258</v>
      </c>
      <c r="H227" s="13" t="n">
        <v>0.125</v>
      </c>
      <c r="I227" s="10" t="s">
        <v>117</v>
      </c>
      <c r="J227" s="14" t="str">
        <f aca="false">IFERROR(VLOOKUP(D227,Role_Mapping!$A$5:$D$31,2,FALSE()),"UNMAPPED")</f>
        <v>Associate Partner</v>
      </c>
      <c r="K227" s="14" t="str">
        <f aca="false">IFERROR(VLOOKUP(D227,Role_Mapping!$A$5:$D$31,3,FALSE()),"IN")</f>
        <v>UK</v>
      </c>
      <c r="L227" s="15" t="n">
        <f aca="false">IFERROR(SUMPRODUCT((Rate_Card!$A$5:$A$34=J227)*(Rate_Card!$B$5:$B$34=K227)*Rate_Card!$C$5:$C$34),0)</f>
        <v>3526</v>
      </c>
      <c r="M227" s="10" t="n">
        <f aca="false">F227*5</f>
        <v>25</v>
      </c>
      <c r="N227" s="16" t="n">
        <f aca="false">L227*M227*H227</f>
        <v>11018.75</v>
      </c>
      <c r="O227" s="10" t="n">
        <f aca="false">(G227-E227)+1</f>
        <v>36</v>
      </c>
      <c r="P227" s="14" t="str">
        <f aca="false">IFERROR(VLOOKUP(D227,Role_Mapping!$A$5:$D$31,4,FALSE()),"UNMAPPED")</f>
        <v>GTM</v>
      </c>
      <c r="Q227" s="16" t="n">
        <f aca="false">$N227*MAX(0,(MIN($G227,DATE(2026,7,31))-MAX($E227,DATE(2026,7,1))+1))/$O227</f>
        <v>3672.91666666667</v>
      </c>
      <c r="R227" s="16" t="n">
        <f aca="false">$N227*MAX(0,(MIN($G227,DATE(2026,8,31))-MAX($E227,DATE(2026,8,1))+1))/$O227</f>
        <v>7345.83333333333</v>
      </c>
      <c r="S227" s="16" t="n">
        <f aca="false">$N227*MAX(0,(MIN($G227,DATE(2026,9,30))-MAX($E227,DATE(2026,9,1))+1))/$O227</f>
        <v>0</v>
      </c>
      <c r="T227" s="16" t="n">
        <f aca="false">$N227*MAX(0,(MIN($G227,DATE(2026,10,31))-MAX($E227,DATE(2026,10,1))+1))/$O227</f>
        <v>0</v>
      </c>
      <c r="U227" s="16" t="n">
        <f aca="false">$N227*MAX(0,(MIN($G227,DATE(2026,11,30))-MAX($E227,DATE(2026,11,1))+1))/$O227</f>
        <v>0</v>
      </c>
      <c r="V227" s="16" t="n">
        <f aca="false">$N227*MAX(0,(MIN($G227,DATE(2026,12,31))-MAX($E227,DATE(2026,12,1))+1))/$O227</f>
        <v>0</v>
      </c>
      <c r="W227" s="17" t="n">
        <f aca="false">$H227*MAX(0,(MIN($G227,DATE(2026,7,31))-MAX($E227,DATE(2026,7,1))+1))/30.4</f>
        <v>0.0493421052631579</v>
      </c>
      <c r="X227" s="17" t="n">
        <f aca="false">$H227*MAX(0,(MIN($G227,DATE(2026,8,31))-MAX($E227,DATE(2026,8,1))+1))/30.4</f>
        <v>0.0986842105263158</v>
      </c>
      <c r="Y227" s="17" t="n">
        <f aca="false">$H227*MAX(0,(MIN($G227,DATE(2026,9,30))-MAX($E227,DATE(2026,9,1))+1))/30.4</f>
        <v>0</v>
      </c>
      <c r="Z227" s="17" t="n">
        <f aca="false">$H227*MAX(0,(MIN($G227,DATE(2026,10,31))-MAX($E227,DATE(2026,10,1))+1))/30.4</f>
        <v>0</v>
      </c>
      <c r="AA227" s="17" t="n">
        <f aca="false">$H227*MAX(0,(MIN($G227,DATE(2026,11,30))-MAX($E227,DATE(2026,11,1))+1))/30.4</f>
        <v>0</v>
      </c>
      <c r="AB227" s="17" t="n">
        <f aca="false">$H227*MAX(0,(MIN($G227,DATE(2026,12,31))-MAX($E227,DATE(2026,12,1))+1))/30.4</f>
        <v>0</v>
      </c>
    </row>
    <row r="228" customFormat="false" ht="15" hidden="false" customHeight="false" outlineLevel="0" collapsed="false">
      <c r="A228" s="10" t="n">
        <v>162</v>
      </c>
      <c r="B228" s="10" t="n">
        <v>2</v>
      </c>
      <c r="C228" s="10" t="s">
        <v>160</v>
      </c>
      <c r="D228" s="10" t="s">
        <v>61</v>
      </c>
      <c r="E228" s="12" t="n">
        <v>46223</v>
      </c>
      <c r="F228" s="10" t="n">
        <v>5</v>
      </c>
      <c r="G228" s="12" t="n">
        <v>46258</v>
      </c>
      <c r="H228" s="13" t="n">
        <v>0.5</v>
      </c>
      <c r="I228" s="10" t="s">
        <v>117</v>
      </c>
      <c r="J228" s="14" t="str">
        <f aca="false">IFERROR(VLOOKUP(D228,Role_Mapping!$A$5:$D$31,2,FALSE()),"UNMAPPED")</f>
        <v>Manager</v>
      </c>
      <c r="K228" s="14" t="str">
        <f aca="false">IFERROR(VLOOKUP(D228,Role_Mapping!$A$5:$D$31,3,FALSE()),"IN")</f>
        <v>UK</v>
      </c>
      <c r="L228" s="15" t="n">
        <f aca="false">IFERROR(SUMPRODUCT((Rate_Card!$A$5:$A$34=J228)*(Rate_Card!$B$5:$B$34=K228)*Rate_Card!$C$5:$C$34),0)</f>
        <v>2984</v>
      </c>
      <c r="M228" s="10" t="n">
        <f aca="false">F228*5</f>
        <v>25</v>
      </c>
      <c r="N228" s="16" t="n">
        <f aca="false">L228*M228*H228</f>
        <v>37300</v>
      </c>
      <c r="O228" s="10" t="n">
        <f aca="false">(G228-E228)+1</f>
        <v>36</v>
      </c>
      <c r="P228" s="14" t="str">
        <f aca="false">IFERROR(VLOOKUP(D228,Role_Mapping!$A$5:$D$31,4,FALSE()),"UNMAPPED")</f>
        <v>Consulting</v>
      </c>
      <c r="Q228" s="16" t="n">
        <f aca="false">$N228*MAX(0,(MIN($G228,DATE(2026,7,31))-MAX($E228,DATE(2026,7,1))+1))/$O228</f>
        <v>12433.3333333333</v>
      </c>
      <c r="R228" s="16" t="n">
        <f aca="false">$N228*MAX(0,(MIN($G228,DATE(2026,8,31))-MAX($E228,DATE(2026,8,1))+1))/$O228</f>
        <v>24866.6666666667</v>
      </c>
      <c r="S228" s="16" t="n">
        <f aca="false">$N228*MAX(0,(MIN($G228,DATE(2026,9,30))-MAX($E228,DATE(2026,9,1))+1))/$O228</f>
        <v>0</v>
      </c>
      <c r="T228" s="16" t="n">
        <f aca="false">$N228*MAX(0,(MIN($G228,DATE(2026,10,31))-MAX($E228,DATE(2026,10,1))+1))/$O228</f>
        <v>0</v>
      </c>
      <c r="U228" s="16" t="n">
        <f aca="false">$N228*MAX(0,(MIN($G228,DATE(2026,11,30))-MAX($E228,DATE(2026,11,1))+1))/$O228</f>
        <v>0</v>
      </c>
      <c r="V228" s="16" t="n">
        <f aca="false">$N228*MAX(0,(MIN($G228,DATE(2026,12,31))-MAX($E228,DATE(2026,12,1))+1))/$O228</f>
        <v>0</v>
      </c>
      <c r="W228" s="17" t="n">
        <f aca="false">$H228*MAX(0,(MIN($G228,DATE(2026,7,31))-MAX($E228,DATE(2026,7,1))+1))/30.4</f>
        <v>0.197368421052632</v>
      </c>
      <c r="X228" s="17" t="n">
        <f aca="false">$H228*MAX(0,(MIN($G228,DATE(2026,8,31))-MAX($E228,DATE(2026,8,1))+1))/30.4</f>
        <v>0.394736842105263</v>
      </c>
      <c r="Y228" s="17" t="n">
        <f aca="false">$H228*MAX(0,(MIN($G228,DATE(2026,9,30))-MAX($E228,DATE(2026,9,1))+1))/30.4</f>
        <v>0</v>
      </c>
      <c r="Z228" s="17" t="n">
        <f aca="false">$H228*MAX(0,(MIN($G228,DATE(2026,10,31))-MAX($E228,DATE(2026,10,1))+1))/30.4</f>
        <v>0</v>
      </c>
      <c r="AA228" s="17" t="n">
        <f aca="false">$H228*MAX(0,(MIN($G228,DATE(2026,11,30))-MAX($E228,DATE(2026,11,1))+1))/30.4</f>
        <v>0</v>
      </c>
      <c r="AB228" s="17" t="n">
        <f aca="false">$H228*MAX(0,(MIN($G228,DATE(2026,12,31))-MAX($E228,DATE(2026,12,1))+1))/30.4</f>
        <v>0</v>
      </c>
    </row>
    <row r="229" customFormat="false" ht="15" hidden="false" customHeight="false" outlineLevel="0" collapsed="false">
      <c r="A229" s="10" t="n">
        <v>162</v>
      </c>
      <c r="B229" s="10" t="n">
        <v>2</v>
      </c>
      <c r="C229" s="10" t="s">
        <v>160</v>
      </c>
      <c r="D229" s="10" t="s">
        <v>72</v>
      </c>
      <c r="E229" s="12" t="n">
        <v>46223</v>
      </c>
      <c r="F229" s="10" t="n">
        <v>5</v>
      </c>
      <c r="G229" s="12" t="n">
        <v>46258</v>
      </c>
      <c r="H229" s="13" t="n">
        <v>0.5</v>
      </c>
      <c r="I229" s="10" t="s">
        <v>117</v>
      </c>
      <c r="J229" s="14" t="str">
        <f aca="false">IFERROR(VLOOKUP(D229,Role_Mapping!$A$5:$D$31,2,FALSE()),"UNMAPPED")</f>
        <v>Senior Consultant</v>
      </c>
      <c r="K229" s="14" t="str">
        <f aca="false">IFERROR(VLOOKUP(D229,Role_Mapping!$A$5:$D$31,3,FALSE()),"IN")</f>
        <v>UK</v>
      </c>
      <c r="L229" s="15" t="n">
        <f aca="false">IFERROR(SUMPRODUCT((Rate_Card!$A$5:$A$34=J229)*(Rate_Card!$B$5:$B$34=K229)*Rate_Card!$C$5:$C$34),0)</f>
        <v>2798</v>
      </c>
      <c r="M229" s="10" t="n">
        <f aca="false">F229*5</f>
        <v>25</v>
      </c>
      <c r="N229" s="16" t="n">
        <f aca="false">L229*M229*H229</f>
        <v>34975</v>
      </c>
      <c r="O229" s="10" t="n">
        <f aca="false">(G229-E229)+1</f>
        <v>36</v>
      </c>
      <c r="P229" s="14" t="str">
        <f aca="false">IFERROR(VLOOKUP(D229,Role_Mapping!$A$5:$D$31,4,FALSE()),"UNMAPPED")</f>
        <v>Consulting</v>
      </c>
      <c r="Q229" s="16" t="n">
        <f aca="false">$N229*MAX(0,(MIN($G229,DATE(2026,7,31))-MAX($E229,DATE(2026,7,1))+1))/$O229</f>
        <v>11658.3333333333</v>
      </c>
      <c r="R229" s="16" t="n">
        <f aca="false">$N229*MAX(0,(MIN($G229,DATE(2026,8,31))-MAX($E229,DATE(2026,8,1))+1))/$O229</f>
        <v>23316.6666666667</v>
      </c>
      <c r="S229" s="16" t="n">
        <f aca="false">$N229*MAX(0,(MIN($G229,DATE(2026,9,30))-MAX($E229,DATE(2026,9,1))+1))/$O229</f>
        <v>0</v>
      </c>
      <c r="T229" s="16" t="n">
        <f aca="false">$N229*MAX(0,(MIN($G229,DATE(2026,10,31))-MAX($E229,DATE(2026,10,1))+1))/$O229</f>
        <v>0</v>
      </c>
      <c r="U229" s="16" t="n">
        <f aca="false">$N229*MAX(0,(MIN($G229,DATE(2026,11,30))-MAX($E229,DATE(2026,11,1))+1))/$O229</f>
        <v>0</v>
      </c>
      <c r="V229" s="16" t="n">
        <f aca="false">$N229*MAX(0,(MIN($G229,DATE(2026,12,31))-MAX($E229,DATE(2026,12,1))+1))/$O229</f>
        <v>0</v>
      </c>
      <c r="W229" s="17" t="n">
        <f aca="false">$H229*MAX(0,(MIN($G229,DATE(2026,7,31))-MAX($E229,DATE(2026,7,1))+1))/30.4</f>
        <v>0.197368421052632</v>
      </c>
      <c r="X229" s="17" t="n">
        <f aca="false">$H229*MAX(0,(MIN($G229,DATE(2026,8,31))-MAX($E229,DATE(2026,8,1))+1))/30.4</f>
        <v>0.394736842105263</v>
      </c>
      <c r="Y229" s="17" t="n">
        <f aca="false">$H229*MAX(0,(MIN($G229,DATE(2026,9,30))-MAX($E229,DATE(2026,9,1))+1))/30.4</f>
        <v>0</v>
      </c>
      <c r="Z229" s="17" t="n">
        <f aca="false">$H229*MAX(0,(MIN($G229,DATE(2026,10,31))-MAX($E229,DATE(2026,10,1))+1))/30.4</f>
        <v>0</v>
      </c>
      <c r="AA229" s="17" t="n">
        <f aca="false">$H229*MAX(0,(MIN($G229,DATE(2026,11,30))-MAX($E229,DATE(2026,11,1))+1))/30.4</f>
        <v>0</v>
      </c>
      <c r="AB229" s="17" t="n">
        <f aca="false">$H229*MAX(0,(MIN($G229,DATE(2026,12,31))-MAX($E229,DATE(2026,12,1))+1))/30.4</f>
        <v>0</v>
      </c>
    </row>
    <row r="230" customFormat="false" ht="15" hidden="false" customHeight="false" outlineLevel="0" collapsed="false">
      <c r="A230" s="10" t="n">
        <v>162</v>
      </c>
      <c r="B230" s="10" t="n">
        <v>2</v>
      </c>
      <c r="C230" s="10" t="s">
        <v>160</v>
      </c>
      <c r="D230" s="10" t="s">
        <v>67</v>
      </c>
      <c r="E230" s="12" t="n">
        <v>46223</v>
      </c>
      <c r="F230" s="10" t="n">
        <v>5</v>
      </c>
      <c r="G230" s="12" t="n">
        <v>46258</v>
      </c>
      <c r="H230" s="13" t="n">
        <v>1</v>
      </c>
      <c r="I230" s="10" t="s">
        <v>117</v>
      </c>
      <c r="J230" s="14" t="str">
        <f aca="false">IFERROR(VLOOKUP(D230,Role_Mapping!$A$5:$D$31,2,FALSE()),"UNMAPPED")</f>
        <v>Senior Associate Consultant</v>
      </c>
      <c r="K230" s="14" t="str">
        <f aca="false">IFERROR(VLOOKUP(D230,Role_Mapping!$A$5:$D$31,3,FALSE()),"IN")</f>
        <v>IN</v>
      </c>
      <c r="L230" s="15" t="n">
        <f aca="false">IFERROR(SUMPRODUCT((Rate_Card!$A$5:$A$34=J230)*(Rate_Card!$B$5:$B$34=K230)*Rate_Card!$C$5:$C$34),0)</f>
        <v>683</v>
      </c>
      <c r="M230" s="10" t="n">
        <f aca="false">F230*5</f>
        <v>25</v>
      </c>
      <c r="N230" s="16" t="n">
        <f aca="false">L230*M230*H230</f>
        <v>17075</v>
      </c>
      <c r="O230" s="10" t="n">
        <f aca="false">(G230-E230)+1</f>
        <v>36</v>
      </c>
      <c r="P230" s="14" t="str">
        <f aca="false">IFERROR(VLOOKUP(D230,Role_Mapping!$A$5:$D$31,4,FALSE()),"UNMAPPED")</f>
        <v>Consulting</v>
      </c>
      <c r="Q230" s="16" t="n">
        <f aca="false">$N230*MAX(0,(MIN($G230,DATE(2026,7,31))-MAX($E230,DATE(2026,7,1))+1))/$O230</f>
        <v>5691.66666666667</v>
      </c>
      <c r="R230" s="16" t="n">
        <f aca="false">$N230*MAX(0,(MIN($G230,DATE(2026,8,31))-MAX($E230,DATE(2026,8,1))+1))/$O230</f>
        <v>11383.3333333333</v>
      </c>
      <c r="S230" s="16" t="n">
        <f aca="false">$N230*MAX(0,(MIN($G230,DATE(2026,9,30))-MAX($E230,DATE(2026,9,1))+1))/$O230</f>
        <v>0</v>
      </c>
      <c r="T230" s="16" t="n">
        <f aca="false">$N230*MAX(0,(MIN($G230,DATE(2026,10,31))-MAX($E230,DATE(2026,10,1))+1))/$O230</f>
        <v>0</v>
      </c>
      <c r="U230" s="16" t="n">
        <f aca="false">$N230*MAX(0,(MIN($G230,DATE(2026,11,30))-MAX($E230,DATE(2026,11,1))+1))/$O230</f>
        <v>0</v>
      </c>
      <c r="V230" s="16" t="n">
        <f aca="false">$N230*MAX(0,(MIN($G230,DATE(2026,12,31))-MAX($E230,DATE(2026,12,1))+1))/$O230</f>
        <v>0</v>
      </c>
      <c r="W230" s="17" t="n">
        <f aca="false">$H230*MAX(0,(MIN($G230,DATE(2026,7,31))-MAX($E230,DATE(2026,7,1))+1))/30.4</f>
        <v>0.394736842105263</v>
      </c>
      <c r="X230" s="17" t="n">
        <f aca="false">$H230*MAX(0,(MIN($G230,DATE(2026,8,31))-MAX($E230,DATE(2026,8,1))+1))/30.4</f>
        <v>0.789473684210526</v>
      </c>
      <c r="Y230" s="17" t="n">
        <f aca="false">$H230*MAX(0,(MIN($G230,DATE(2026,9,30))-MAX($E230,DATE(2026,9,1))+1))/30.4</f>
        <v>0</v>
      </c>
      <c r="Z230" s="17" t="n">
        <f aca="false">$H230*MAX(0,(MIN($G230,DATE(2026,10,31))-MAX($E230,DATE(2026,10,1))+1))/30.4</f>
        <v>0</v>
      </c>
      <c r="AA230" s="17" t="n">
        <f aca="false">$H230*MAX(0,(MIN($G230,DATE(2026,11,30))-MAX($E230,DATE(2026,11,1))+1))/30.4</f>
        <v>0</v>
      </c>
      <c r="AB230" s="17" t="n">
        <f aca="false">$H230*MAX(0,(MIN($G230,DATE(2026,12,31))-MAX($E230,DATE(2026,12,1))+1))/30.4</f>
        <v>0</v>
      </c>
    </row>
    <row r="231" customFormat="false" ht="15" hidden="false" customHeight="false" outlineLevel="0" collapsed="false">
      <c r="A231" s="10" t="n">
        <v>162</v>
      </c>
      <c r="B231" s="10" t="n">
        <v>2</v>
      </c>
      <c r="C231" s="10" t="s">
        <v>160</v>
      </c>
      <c r="D231" s="10" t="s">
        <v>64</v>
      </c>
      <c r="E231" s="12" t="n">
        <v>46223</v>
      </c>
      <c r="F231" s="10" t="n">
        <v>5</v>
      </c>
      <c r="G231" s="12" t="n">
        <v>46258</v>
      </c>
      <c r="H231" s="13" t="n">
        <v>0.25</v>
      </c>
      <c r="I231" s="10" t="s">
        <v>113</v>
      </c>
      <c r="J231" s="14" t="str">
        <f aca="false">IFERROR(VLOOKUP(D231,Role_Mapping!$A$5:$D$31,2,FALSE()),"UNMAPPED")</f>
        <v>Principal Technology Architect</v>
      </c>
      <c r="K231" s="14" t="str">
        <f aca="false">IFERROR(VLOOKUP(D231,Role_Mapping!$A$5:$D$31,3,FALSE()),"IN")</f>
        <v>IN</v>
      </c>
      <c r="L231" s="15" t="n">
        <f aca="false">IFERROR(SUMPRODUCT((Rate_Card!$A$5:$A$34=J231)*(Rate_Card!$B$5:$B$34=K231)*Rate_Card!$C$5:$C$34),0)</f>
        <v>845</v>
      </c>
      <c r="M231" s="10" t="n">
        <f aca="false">F231*5</f>
        <v>25</v>
      </c>
      <c r="N231" s="16" t="n">
        <f aca="false">L231*M231*H231</f>
        <v>5281.25</v>
      </c>
      <c r="O231" s="10" t="n">
        <f aca="false">(G231-E231)+1</f>
        <v>36</v>
      </c>
      <c r="P231" s="14" t="str">
        <f aca="false">IFERROR(VLOOKUP(D231,Role_Mapping!$A$5:$D$31,4,FALSE()),"UNMAPPED")</f>
        <v>Full Stack</v>
      </c>
      <c r="Q231" s="16" t="n">
        <f aca="false">$N231*MAX(0,(MIN($G231,DATE(2026,7,31))-MAX($E231,DATE(2026,7,1))+1))/$O231</f>
        <v>1760.41666666667</v>
      </c>
      <c r="R231" s="16" t="n">
        <f aca="false">$N231*MAX(0,(MIN($G231,DATE(2026,8,31))-MAX($E231,DATE(2026,8,1))+1))/$O231</f>
        <v>3520.83333333333</v>
      </c>
      <c r="S231" s="16" t="n">
        <f aca="false">$N231*MAX(0,(MIN($G231,DATE(2026,9,30))-MAX($E231,DATE(2026,9,1))+1))/$O231</f>
        <v>0</v>
      </c>
      <c r="T231" s="16" t="n">
        <f aca="false">$N231*MAX(0,(MIN($G231,DATE(2026,10,31))-MAX($E231,DATE(2026,10,1))+1))/$O231</f>
        <v>0</v>
      </c>
      <c r="U231" s="16" t="n">
        <f aca="false">$N231*MAX(0,(MIN($G231,DATE(2026,11,30))-MAX($E231,DATE(2026,11,1))+1))/$O231</f>
        <v>0</v>
      </c>
      <c r="V231" s="16" t="n">
        <f aca="false">$N231*MAX(0,(MIN($G231,DATE(2026,12,31))-MAX($E231,DATE(2026,12,1))+1))/$O231</f>
        <v>0</v>
      </c>
      <c r="W231" s="17" t="n">
        <f aca="false">$H231*MAX(0,(MIN($G231,DATE(2026,7,31))-MAX($E231,DATE(2026,7,1))+1))/30.4</f>
        <v>0.0986842105263158</v>
      </c>
      <c r="X231" s="17" t="n">
        <f aca="false">$H231*MAX(0,(MIN($G231,DATE(2026,8,31))-MAX($E231,DATE(2026,8,1))+1))/30.4</f>
        <v>0.197368421052632</v>
      </c>
      <c r="Y231" s="17" t="n">
        <f aca="false">$H231*MAX(0,(MIN($G231,DATE(2026,9,30))-MAX($E231,DATE(2026,9,1))+1))/30.4</f>
        <v>0</v>
      </c>
      <c r="Z231" s="17" t="n">
        <f aca="false">$H231*MAX(0,(MIN($G231,DATE(2026,10,31))-MAX($E231,DATE(2026,10,1))+1))/30.4</f>
        <v>0</v>
      </c>
      <c r="AA231" s="17" t="n">
        <f aca="false">$H231*MAX(0,(MIN($G231,DATE(2026,11,30))-MAX($E231,DATE(2026,11,1))+1))/30.4</f>
        <v>0</v>
      </c>
      <c r="AB231" s="17" t="n">
        <f aca="false">$H231*MAX(0,(MIN($G231,DATE(2026,12,31))-MAX($E231,DATE(2026,12,1))+1))/30.4</f>
        <v>0</v>
      </c>
    </row>
    <row r="232" customFormat="false" ht="15" hidden="false" customHeight="false" outlineLevel="0" collapsed="false">
      <c r="A232" s="10" t="n">
        <v>162</v>
      </c>
      <c r="B232" s="10" t="n">
        <v>2</v>
      </c>
      <c r="C232" s="10" t="s">
        <v>160</v>
      </c>
      <c r="D232" s="10" t="s">
        <v>80</v>
      </c>
      <c r="E232" s="12" t="n">
        <v>46223</v>
      </c>
      <c r="F232" s="10" t="n">
        <v>5</v>
      </c>
      <c r="G232" s="12" t="n">
        <v>46258</v>
      </c>
      <c r="H232" s="13" t="n">
        <v>1</v>
      </c>
      <c r="I232" s="10" t="s">
        <v>113</v>
      </c>
      <c r="J232" s="14" t="str">
        <f aca="false">IFERROR(VLOOKUP(D232,Role_Mapping!$A$5:$D$31,2,FALSE()),"UNMAPPED")</f>
        <v>Solutions Consultant</v>
      </c>
      <c r="K232" s="14" t="str">
        <f aca="false">IFERROR(VLOOKUP(D232,Role_Mapping!$A$5:$D$31,3,FALSE()),"IN")</f>
        <v>IN</v>
      </c>
      <c r="L232" s="15" t="n">
        <f aca="false">IFERROR(SUMPRODUCT((Rate_Card!$A$5:$A$34=J232)*(Rate_Card!$B$5:$B$34=K232)*Rate_Card!$C$5:$C$34),0)</f>
        <v>683</v>
      </c>
      <c r="M232" s="10" t="n">
        <f aca="false">F232*5</f>
        <v>25</v>
      </c>
      <c r="N232" s="16" t="n">
        <f aca="false">L232*M232*H232</f>
        <v>17075</v>
      </c>
      <c r="O232" s="10" t="n">
        <f aca="false">(G232-E232)+1</f>
        <v>36</v>
      </c>
      <c r="P232" s="14" t="str">
        <f aca="false">IFERROR(VLOOKUP(D232,Role_Mapping!$A$5:$D$31,4,FALSE()),"UNMAPPED")</f>
        <v>Power BI &amp; Consulting</v>
      </c>
      <c r="Q232" s="16" t="n">
        <f aca="false">$N232*MAX(0,(MIN($G232,DATE(2026,7,31))-MAX($E232,DATE(2026,7,1))+1))/$O232</f>
        <v>5691.66666666667</v>
      </c>
      <c r="R232" s="16" t="n">
        <f aca="false">$N232*MAX(0,(MIN($G232,DATE(2026,8,31))-MAX($E232,DATE(2026,8,1))+1))/$O232</f>
        <v>11383.3333333333</v>
      </c>
      <c r="S232" s="16" t="n">
        <f aca="false">$N232*MAX(0,(MIN($G232,DATE(2026,9,30))-MAX($E232,DATE(2026,9,1))+1))/$O232</f>
        <v>0</v>
      </c>
      <c r="T232" s="16" t="n">
        <f aca="false">$N232*MAX(0,(MIN($G232,DATE(2026,10,31))-MAX($E232,DATE(2026,10,1))+1))/$O232</f>
        <v>0</v>
      </c>
      <c r="U232" s="16" t="n">
        <f aca="false">$N232*MAX(0,(MIN($G232,DATE(2026,11,30))-MAX($E232,DATE(2026,11,1))+1))/$O232</f>
        <v>0</v>
      </c>
      <c r="V232" s="16" t="n">
        <f aca="false">$N232*MAX(0,(MIN($G232,DATE(2026,12,31))-MAX($E232,DATE(2026,12,1))+1))/$O232</f>
        <v>0</v>
      </c>
      <c r="W232" s="17" t="n">
        <f aca="false">$H232*MAX(0,(MIN($G232,DATE(2026,7,31))-MAX($E232,DATE(2026,7,1))+1))/30.4</f>
        <v>0.394736842105263</v>
      </c>
      <c r="X232" s="17" t="n">
        <f aca="false">$H232*MAX(0,(MIN($G232,DATE(2026,8,31))-MAX($E232,DATE(2026,8,1))+1))/30.4</f>
        <v>0.789473684210526</v>
      </c>
      <c r="Y232" s="17" t="n">
        <f aca="false">$H232*MAX(0,(MIN($G232,DATE(2026,9,30))-MAX($E232,DATE(2026,9,1))+1))/30.4</f>
        <v>0</v>
      </c>
      <c r="Z232" s="17" t="n">
        <f aca="false">$H232*MAX(0,(MIN($G232,DATE(2026,10,31))-MAX($E232,DATE(2026,10,1))+1))/30.4</f>
        <v>0</v>
      </c>
      <c r="AA232" s="17" t="n">
        <f aca="false">$H232*MAX(0,(MIN($G232,DATE(2026,11,30))-MAX($E232,DATE(2026,11,1))+1))/30.4</f>
        <v>0</v>
      </c>
      <c r="AB232" s="17" t="n">
        <f aca="false">$H232*MAX(0,(MIN($G232,DATE(2026,12,31))-MAX($E232,DATE(2026,12,1))+1))/30.4</f>
        <v>0</v>
      </c>
    </row>
    <row r="233" customFormat="false" ht="15" hidden="false" customHeight="false" outlineLevel="0" collapsed="false">
      <c r="A233" s="10" t="n">
        <v>163</v>
      </c>
      <c r="B233" s="10" t="n">
        <v>5</v>
      </c>
      <c r="C233" s="10" t="s">
        <v>161</v>
      </c>
      <c r="D233" s="10" t="s">
        <v>62</v>
      </c>
      <c r="E233" s="12" t="n">
        <v>46265</v>
      </c>
      <c r="F233" s="10" t="n">
        <v>3</v>
      </c>
      <c r="G233" s="12" t="n">
        <v>46286</v>
      </c>
      <c r="H233" s="13" t="n">
        <v>0.125</v>
      </c>
      <c r="I233" s="10" t="s">
        <v>113</v>
      </c>
      <c r="J233" s="14" t="str">
        <f aca="false">IFERROR(VLOOKUP(D233,Role_Mapping!$A$5:$D$31,2,FALSE()),"UNMAPPED")</f>
        <v>Associate Partner</v>
      </c>
      <c r="K233" s="14" t="str">
        <f aca="false">IFERROR(VLOOKUP(D233,Role_Mapping!$A$5:$D$31,3,FALSE()),"IN")</f>
        <v>UK</v>
      </c>
      <c r="L233" s="15" t="n">
        <f aca="false">IFERROR(SUMPRODUCT((Rate_Card!$A$5:$A$34=J233)*(Rate_Card!$B$5:$B$34=K233)*Rate_Card!$C$5:$C$34),0)</f>
        <v>3526</v>
      </c>
      <c r="M233" s="10" t="n">
        <f aca="false">F233*5</f>
        <v>15</v>
      </c>
      <c r="N233" s="16" t="n">
        <f aca="false">L233*M233*H233</f>
        <v>6611.25</v>
      </c>
      <c r="O233" s="10" t="n">
        <f aca="false">(G233-E233)+1</f>
        <v>22</v>
      </c>
      <c r="P233" s="14" t="str">
        <f aca="false">IFERROR(VLOOKUP(D233,Role_Mapping!$A$5:$D$31,4,FALSE()),"UNMAPPED")</f>
        <v>GTM</v>
      </c>
      <c r="Q233" s="16" t="n">
        <f aca="false">$N233*MAX(0,(MIN($G233,DATE(2026,7,31))-MAX($E233,DATE(2026,7,1))+1))/$O233</f>
        <v>0</v>
      </c>
      <c r="R233" s="16" t="n">
        <f aca="false">$N233*MAX(0,(MIN($G233,DATE(2026,8,31))-MAX($E233,DATE(2026,8,1))+1))/$O233</f>
        <v>300.511363636364</v>
      </c>
      <c r="S233" s="16" t="n">
        <f aca="false">$N233*MAX(0,(MIN($G233,DATE(2026,9,30))-MAX($E233,DATE(2026,9,1))+1))/$O233</f>
        <v>6310.73863636364</v>
      </c>
      <c r="T233" s="16" t="n">
        <f aca="false">$N233*MAX(0,(MIN($G233,DATE(2026,10,31))-MAX($E233,DATE(2026,10,1))+1))/$O233</f>
        <v>0</v>
      </c>
      <c r="U233" s="16" t="n">
        <f aca="false">$N233*MAX(0,(MIN($G233,DATE(2026,11,30))-MAX($E233,DATE(2026,11,1))+1))/$O233</f>
        <v>0</v>
      </c>
      <c r="V233" s="16" t="n">
        <f aca="false">$N233*MAX(0,(MIN($G233,DATE(2026,12,31))-MAX($E233,DATE(2026,12,1))+1))/$O233</f>
        <v>0</v>
      </c>
      <c r="W233" s="17" t="n">
        <f aca="false">$H233*MAX(0,(MIN($G233,DATE(2026,7,31))-MAX($E233,DATE(2026,7,1))+1))/30.4</f>
        <v>0</v>
      </c>
      <c r="X233" s="17" t="n">
        <f aca="false">$H233*MAX(0,(MIN($G233,DATE(2026,8,31))-MAX($E233,DATE(2026,8,1))+1))/30.4</f>
        <v>0.00411184210526316</v>
      </c>
      <c r="Y233" s="17" t="n">
        <f aca="false">$H233*MAX(0,(MIN($G233,DATE(2026,9,30))-MAX($E233,DATE(2026,9,1))+1))/30.4</f>
        <v>0.0863486842105263</v>
      </c>
      <c r="Z233" s="17" t="n">
        <f aca="false">$H233*MAX(0,(MIN($G233,DATE(2026,10,31))-MAX($E233,DATE(2026,10,1))+1))/30.4</f>
        <v>0</v>
      </c>
      <c r="AA233" s="17" t="n">
        <f aca="false">$H233*MAX(0,(MIN($G233,DATE(2026,11,30))-MAX($E233,DATE(2026,11,1))+1))/30.4</f>
        <v>0</v>
      </c>
      <c r="AB233" s="17" t="n">
        <f aca="false">$H233*MAX(0,(MIN($G233,DATE(2026,12,31))-MAX($E233,DATE(2026,12,1))+1))/30.4</f>
        <v>0</v>
      </c>
    </row>
    <row r="234" customFormat="false" ht="15" hidden="false" customHeight="false" outlineLevel="0" collapsed="false">
      <c r="A234" s="10" t="n">
        <v>163</v>
      </c>
      <c r="B234" s="10" t="n">
        <v>5</v>
      </c>
      <c r="C234" s="10" t="s">
        <v>161</v>
      </c>
      <c r="D234" s="10" t="s">
        <v>64</v>
      </c>
      <c r="E234" s="12" t="n">
        <v>46265</v>
      </c>
      <c r="F234" s="10" t="n">
        <v>3</v>
      </c>
      <c r="G234" s="12" t="n">
        <v>46286</v>
      </c>
      <c r="H234" s="13" t="n">
        <v>0.25</v>
      </c>
      <c r="I234" s="10" t="s">
        <v>113</v>
      </c>
      <c r="J234" s="14" t="str">
        <f aca="false">IFERROR(VLOOKUP(D234,Role_Mapping!$A$5:$D$31,2,FALSE()),"UNMAPPED")</f>
        <v>Principal Technology Architect</v>
      </c>
      <c r="K234" s="14" t="str">
        <f aca="false">IFERROR(VLOOKUP(D234,Role_Mapping!$A$5:$D$31,3,FALSE()),"IN")</f>
        <v>IN</v>
      </c>
      <c r="L234" s="15" t="n">
        <f aca="false">IFERROR(SUMPRODUCT((Rate_Card!$A$5:$A$34=J234)*(Rate_Card!$B$5:$B$34=K234)*Rate_Card!$C$5:$C$34),0)</f>
        <v>845</v>
      </c>
      <c r="M234" s="10" t="n">
        <f aca="false">F234*5</f>
        <v>15</v>
      </c>
      <c r="N234" s="16" t="n">
        <f aca="false">L234*M234*H234</f>
        <v>3168.75</v>
      </c>
      <c r="O234" s="10" t="n">
        <f aca="false">(G234-E234)+1</f>
        <v>22</v>
      </c>
      <c r="P234" s="14" t="str">
        <f aca="false">IFERROR(VLOOKUP(D234,Role_Mapping!$A$5:$D$31,4,FALSE()),"UNMAPPED")</f>
        <v>Full Stack</v>
      </c>
      <c r="Q234" s="16" t="n">
        <f aca="false">$N234*MAX(0,(MIN($G234,DATE(2026,7,31))-MAX($E234,DATE(2026,7,1))+1))/$O234</f>
        <v>0</v>
      </c>
      <c r="R234" s="16" t="n">
        <f aca="false">$N234*MAX(0,(MIN($G234,DATE(2026,8,31))-MAX($E234,DATE(2026,8,1))+1))/$O234</f>
        <v>144.034090909091</v>
      </c>
      <c r="S234" s="16" t="n">
        <f aca="false">$N234*MAX(0,(MIN($G234,DATE(2026,9,30))-MAX($E234,DATE(2026,9,1))+1))/$O234</f>
        <v>3024.71590909091</v>
      </c>
      <c r="T234" s="16" t="n">
        <f aca="false">$N234*MAX(0,(MIN($G234,DATE(2026,10,31))-MAX($E234,DATE(2026,10,1))+1))/$O234</f>
        <v>0</v>
      </c>
      <c r="U234" s="16" t="n">
        <f aca="false">$N234*MAX(0,(MIN($G234,DATE(2026,11,30))-MAX($E234,DATE(2026,11,1))+1))/$O234</f>
        <v>0</v>
      </c>
      <c r="V234" s="16" t="n">
        <f aca="false">$N234*MAX(0,(MIN($G234,DATE(2026,12,31))-MAX($E234,DATE(2026,12,1))+1))/$O234</f>
        <v>0</v>
      </c>
      <c r="W234" s="17" t="n">
        <f aca="false">$H234*MAX(0,(MIN($G234,DATE(2026,7,31))-MAX($E234,DATE(2026,7,1))+1))/30.4</f>
        <v>0</v>
      </c>
      <c r="X234" s="17" t="n">
        <f aca="false">$H234*MAX(0,(MIN($G234,DATE(2026,8,31))-MAX($E234,DATE(2026,8,1))+1))/30.4</f>
        <v>0.00822368421052632</v>
      </c>
      <c r="Y234" s="17" t="n">
        <f aca="false">$H234*MAX(0,(MIN($G234,DATE(2026,9,30))-MAX($E234,DATE(2026,9,1))+1))/30.4</f>
        <v>0.172697368421053</v>
      </c>
      <c r="Z234" s="17" t="n">
        <f aca="false">$H234*MAX(0,(MIN($G234,DATE(2026,10,31))-MAX($E234,DATE(2026,10,1))+1))/30.4</f>
        <v>0</v>
      </c>
      <c r="AA234" s="17" t="n">
        <f aca="false">$H234*MAX(0,(MIN($G234,DATE(2026,11,30))-MAX($E234,DATE(2026,11,1))+1))/30.4</f>
        <v>0</v>
      </c>
      <c r="AB234" s="17" t="n">
        <f aca="false">$H234*MAX(0,(MIN($G234,DATE(2026,12,31))-MAX($E234,DATE(2026,12,1))+1))/30.4</f>
        <v>0</v>
      </c>
    </row>
    <row r="235" customFormat="false" ht="15" hidden="false" customHeight="false" outlineLevel="0" collapsed="false">
      <c r="A235" s="10" t="n">
        <v>163</v>
      </c>
      <c r="B235" s="10" t="n">
        <v>5</v>
      </c>
      <c r="C235" s="10" t="s">
        <v>161</v>
      </c>
      <c r="D235" s="10" t="s">
        <v>56</v>
      </c>
      <c r="E235" s="12" t="n">
        <v>46265</v>
      </c>
      <c r="F235" s="10" t="n">
        <v>3</v>
      </c>
      <c r="G235" s="12" t="n">
        <v>46286</v>
      </c>
      <c r="H235" s="13" t="n">
        <v>0.5</v>
      </c>
      <c r="I235" s="10" t="s">
        <v>113</v>
      </c>
      <c r="J235" s="14" t="str">
        <f aca="false">IFERROR(VLOOKUP(D235,Role_Mapping!$A$5:$D$31,2,FALSE()),"UNMAPPED")</f>
        <v>Manager</v>
      </c>
      <c r="K235" s="14" t="str">
        <f aca="false">IFERROR(VLOOKUP(D235,Role_Mapping!$A$5:$D$31,3,FALSE()),"IN")</f>
        <v>UK</v>
      </c>
      <c r="L235" s="15" t="n">
        <f aca="false">IFERROR(SUMPRODUCT((Rate_Card!$A$5:$A$34=J235)*(Rate_Card!$B$5:$B$34=K235)*Rate_Card!$C$5:$C$34),0)</f>
        <v>2984</v>
      </c>
      <c r="M235" s="10" t="n">
        <f aca="false">F235*5</f>
        <v>15</v>
      </c>
      <c r="N235" s="16" t="n">
        <f aca="false">L235*M235*H235</f>
        <v>22380</v>
      </c>
      <c r="O235" s="10" t="n">
        <f aca="false">(G235-E235)+1</f>
        <v>22</v>
      </c>
      <c r="P235" s="14" t="str">
        <f aca="false">IFERROR(VLOOKUP(D235,Role_Mapping!$A$5:$D$31,4,FALSE()),"UNMAPPED")</f>
        <v>Consulting</v>
      </c>
      <c r="Q235" s="16" t="n">
        <f aca="false">$N235*MAX(0,(MIN($G235,DATE(2026,7,31))-MAX($E235,DATE(2026,7,1))+1))/$O235</f>
        <v>0</v>
      </c>
      <c r="R235" s="16" t="n">
        <f aca="false">$N235*MAX(0,(MIN($G235,DATE(2026,8,31))-MAX($E235,DATE(2026,8,1))+1))/$O235</f>
        <v>1017.27272727273</v>
      </c>
      <c r="S235" s="16" t="n">
        <f aca="false">$N235*MAX(0,(MIN($G235,DATE(2026,9,30))-MAX($E235,DATE(2026,9,1))+1))/$O235</f>
        <v>21362.7272727273</v>
      </c>
      <c r="T235" s="16" t="n">
        <f aca="false">$N235*MAX(0,(MIN($G235,DATE(2026,10,31))-MAX($E235,DATE(2026,10,1))+1))/$O235</f>
        <v>0</v>
      </c>
      <c r="U235" s="16" t="n">
        <f aca="false">$N235*MAX(0,(MIN($G235,DATE(2026,11,30))-MAX($E235,DATE(2026,11,1))+1))/$O235</f>
        <v>0</v>
      </c>
      <c r="V235" s="16" t="n">
        <f aca="false">$N235*MAX(0,(MIN($G235,DATE(2026,12,31))-MAX($E235,DATE(2026,12,1))+1))/$O235</f>
        <v>0</v>
      </c>
      <c r="W235" s="17" t="n">
        <f aca="false">$H235*MAX(0,(MIN($G235,DATE(2026,7,31))-MAX($E235,DATE(2026,7,1))+1))/30.4</f>
        <v>0</v>
      </c>
      <c r="X235" s="17" t="n">
        <f aca="false">$H235*MAX(0,(MIN($G235,DATE(2026,8,31))-MAX($E235,DATE(2026,8,1))+1))/30.4</f>
        <v>0.0164473684210526</v>
      </c>
      <c r="Y235" s="17" t="n">
        <f aca="false">$H235*MAX(0,(MIN($G235,DATE(2026,9,30))-MAX($E235,DATE(2026,9,1))+1))/30.4</f>
        <v>0.345394736842105</v>
      </c>
      <c r="Z235" s="17" t="n">
        <f aca="false">$H235*MAX(0,(MIN($G235,DATE(2026,10,31))-MAX($E235,DATE(2026,10,1))+1))/30.4</f>
        <v>0</v>
      </c>
      <c r="AA235" s="17" t="n">
        <f aca="false">$H235*MAX(0,(MIN($G235,DATE(2026,11,30))-MAX($E235,DATE(2026,11,1))+1))/30.4</f>
        <v>0</v>
      </c>
      <c r="AB235" s="17" t="n">
        <f aca="false">$H235*MAX(0,(MIN($G235,DATE(2026,12,31))-MAX($E235,DATE(2026,12,1))+1))/30.4</f>
        <v>0</v>
      </c>
    </row>
    <row r="236" customFormat="false" ht="15" hidden="false" customHeight="false" outlineLevel="0" collapsed="false">
      <c r="A236" s="10" t="n">
        <v>163</v>
      </c>
      <c r="B236" s="10" t="n">
        <v>5</v>
      </c>
      <c r="C236" s="10" t="s">
        <v>161</v>
      </c>
      <c r="D236" s="10" t="s">
        <v>67</v>
      </c>
      <c r="E236" s="12" t="n">
        <v>46265</v>
      </c>
      <c r="F236" s="10" t="n">
        <v>3</v>
      </c>
      <c r="G236" s="12" t="n">
        <v>46286</v>
      </c>
      <c r="H236" s="13" t="n">
        <v>1</v>
      </c>
      <c r="I236" s="10" t="s">
        <v>113</v>
      </c>
      <c r="J236" s="14" t="str">
        <f aca="false">IFERROR(VLOOKUP(D236,Role_Mapping!$A$5:$D$31,2,FALSE()),"UNMAPPED")</f>
        <v>Senior Associate Consultant</v>
      </c>
      <c r="K236" s="14" t="str">
        <f aca="false">IFERROR(VLOOKUP(D236,Role_Mapping!$A$5:$D$31,3,FALSE()),"IN")</f>
        <v>IN</v>
      </c>
      <c r="L236" s="15" t="n">
        <f aca="false">IFERROR(SUMPRODUCT((Rate_Card!$A$5:$A$34=J236)*(Rate_Card!$B$5:$B$34=K236)*Rate_Card!$C$5:$C$34),0)</f>
        <v>683</v>
      </c>
      <c r="M236" s="10" t="n">
        <f aca="false">F236*5</f>
        <v>15</v>
      </c>
      <c r="N236" s="16" t="n">
        <f aca="false">L236*M236*H236</f>
        <v>10245</v>
      </c>
      <c r="O236" s="10" t="n">
        <f aca="false">(G236-E236)+1</f>
        <v>22</v>
      </c>
      <c r="P236" s="14" t="str">
        <f aca="false">IFERROR(VLOOKUP(D236,Role_Mapping!$A$5:$D$31,4,FALSE()),"UNMAPPED")</f>
        <v>Consulting</v>
      </c>
      <c r="Q236" s="16" t="n">
        <f aca="false">$N236*MAX(0,(MIN($G236,DATE(2026,7,31))-MAX($E236,DATE(2026,7,1))+1))/$O236</f>
        <v>0</v>
      </c>
      <c r="R236" s="16" t="n">
        <f aca="false">$N236*MAX(0,(MIN($G236,DATE(2026,8,31))-MAX($E236,DATE(2026,8,1))+1))/$O236</f>
        <v>465.681818181818</v>
      </c>
      <c r="S236" s="16" t="n">
        <f aca="false">$N236*MAX(0,(MIN($G236,DATE(2026,9,30))-MAX($E236,DATE(2026,9,1))+1))/$O236</f>
        <v>9779.31818181818</v>
      </c>
      <c r="T236" s="16" t="n">
        <f aca="false">$N236*MAX(0,(MIN($G236,DATE(2026,10,31))-MAX($E236,DATE(2026,10,1))+1))/$O236</f>
        <v>0</v>
      </c>
      <c r="U236" s="16" t="n">
        <f aca="false">$N236*MAX(0,(MIN($G236,DATE(2026,11,30))-MAX($E236,DATE(2026,11,1))+1))/$O236</f>
        <v>0</v>
      </c>
      <c r="V236" s="16" t="n">
        <f aca="false">$N236*MAX(0,(MIN($G236,DATE(2026,12,31))-MAX($E236,DATE(2026,12,1))+1))/$O236</f>
        <v>0</v>
      </c>
      <c r="W236" s="17" t="n">
        <f aca="false">$H236*MAX(0,(MIN($G236,DATE(2026,7,31))-MAX($E236,DATE(2026,7,1))+1))/30.4</f>
        <v>0</v>
      </c>
      <c r="X236" s="17" t="n">
        <f aca="false">$H236*MAX(0,(MIN($G236,DATE(2026,8,31))-MAX($E236,DATE(2026,8,1))+1))/30.4</f>
        <v>0.0328947368421053</v>
      </c>
      <c r="Y236" s="17" t="n">
        <f aca="false">$H236*MAX(0,(MIN($G236,DATE(2026,9,30))-MAX($E236,DATE(2026,9,1))+1))/30.4</f>
        <v>0.690789473684211</v>
      </c>
      <c r="Z236" s="17" t="n">
        <f aca="false">$H236*MAX(0,(MIN($G236,DATE(2026,10,31))-MAX($E236,DATE(2026,10,1))+1))/30.4</f>
        <v>0</v>
      </c>
      <c r="AA236" s="17" t="n">
        <f aca="false">$H236*MAX(0,(MIN($G236,DATE(2026,11,30))-MAX($E236,DATE(2026,11,1))+1))/30.4</f>
        <v>0</v>
      </c>
      <c r="AB236" s="17" t="n">
        <f aca="false">$H236*MAX(0,(MIN($G236,DATE(2026,12,31))-MAX($E236,DATE(2026,12,1))+1))/30.4</f>
        <v>0</v>
      </c>
    </row>
    <row r="237" customFormat="false" ht="15" hidden="false" customHeight="false" outlineLevel="0" collapsed="false">
      <c r="A237" s="10" t="n">
        <v>163</v>
      </c>
      <c r="B237" s="10" t="n">
        <v>5</v>
      </c>
      <c r="C237" s="10" t="s">
        <v>161</v>
      </c>
      <c r="D237" s="10" t="s">
        <v>45</v>
      </c>
      <c r="E237" s="12" t="n">
        <v>46265</v>
      </c>
      <c r="F237" s="10" t="n">
        <v>3</v>
      </c>
      <c r="G237" s="12" t="n">
        <v>46286</v>
      </c>
      <c r="H237" s="13" t="n">
        <v>1</v>
      </c>
      <c r="I237" s="10" t="s">
        <v>113</v>
      </c>
      <c r="J237" s="14" t="str">
        <f aca="false">IFERROR(VLOOKUP(D237,Role_Mapping!$A$5:$D$31,2,FALSE()),"UNMAPPED")</f>
        <v>Associate Consultant</v>
      </c>
      <c r="K237" s="14" t="str">
        <f aca="false">IFERROR(VLOOKUP(D237,Role_Mapping!$A$5:$D$31,3,FALSE()),"IN")</f>
        <v>IN</v>
      </c>
      <c r="L237" s="15" t="n">
        <f aca="false">IFERROR(SUMPRODUCT((Rate_Card!$A$5:$A$34=J237)*(Rate_Card!$B$5:$B$34=K237)*Rate_Card!$C$5:$C$34),0)</f>
        <v>585</v>
      </c>
      <c r="M237" s="10" t="n">
        <f aca="false">F237*5</f>
        <v>15</v>
      </c>
      <c r="N237" s="16" t="n">
        <f aca="false">L237*M237*H237</f>
        <v>8775</v>
      </c>
      <c r="O237" s="10" t="n">
        <f aca="false">(G237-E237)+1</f>
        <v>22</v>
      </c>
      <c r="P237" s="14" t="str">
        <f aca="false">IFERROR(VLOOKUP(D237,Role_Mapping!$A$5:$D$31,4,FALSE()),"UNMAPPED")</f>
        <v>Consulting</v>
      </c>
      <c r="Q237" s="16" t="n">
        <f aca="false">$N237*MAX(0,(MIN($G237,DATE(2026,7,31))-MAX($E237,DATE(2026,7,1))+1))/$O237</f>
        <v>0</v>
      </c>
      <c r="R237" s="16" t="n">
        <f aca="false">$N237*MAX(0,(MIN($G237,DATE(2026,8,31))-MAX($E237,DATE(2026,8,1))+1))/$O237</f>
        <v>398.863636363636</v>
      </c>
      <c r="S237" s="16" t="n">
        <f aca="false">$N237*MAX(0,(MIN($G237,DATE(2026,9,30))-MAX($E237,DATE(2026,9,1))+1))/$O237</f>
        <v>8376.13636363636</v>
      </c>
      <c r="T237" s="16" t="n">
        <f aca="false">$N237*MAX(0,(MIN($G237,DATE(2026,10,31))-MAX($E237,DATE(2026,10,1))+1))/$O237</f>
        <v>0</v>
      </c>
      <c r="U237" s="16" t="n">
        <f aca="false">$N237*MAX(0,(MIN($G237,DATE(2026,11,30))-MAX($E237,DATE(2026,11,1))+1))/$O237</f>
        <v>0</v>
      </c>
      <c r="V237" s="16" t="n">
        <f aca="false">$N237*MAX(0,(MIN($G237,DATE(2026,12,31))-MAX($E237,DATE(2026,12,1))+1))/$O237</f>
        <v>0</v>
      </c>
      <c r="W237" s="17" t="n">
        <f aca="false">$H237*MAX(0,(MIN($G237,DATE(2026,7,31))-MAX($E237,DATE(2026,7,1))+1))/30.4</f>
        <v>0</v>
      </c>
      <c r="X237" s="17" t="n">
        <f aca="false">$H237*MAX(0,(MIN($G237,DATE(2026,8,31))-MAX($E237,DATE(2026,8,1))+1))/30.4</f>
        <v>0.0328947368421053</v>
      </c>
      <c r="Y237" s="17" t="n">
        <f aca="false">$H237*MAX(0,(MIN($G237,DATE(2026,9,30))-MAX($E237,DATE(2026,9,1))+1))/30.4</f>
        <v>0.690789473684211</v>
      </c>
      <c r="Z237" s="17" t="n">
        <f aca="false">$H237*MAX(0,(MIN($G237,DATE(2026,10,31))-MAX($E237,DATE(2026,10,1))+1))/30.4</f>
        <v>0</v>
      </c>
      <c r="AA237" s="17" t="n">
        <f aca="false">$H237*MAX(0,(MIN($G237,DATE(2026,11,30))-MAX($E237,DATE(2026,11,1))+1))/30.4</f>
        <v>0</v>
      </c>
      <c r="AB237" s="17" t="n">
        <f aca="false">$H237*MAX(0,(MIN($G237,DATE(2026,12,31))-MAX($E237,DATE(2026,12,1))+1))/30.4</f>
        <v>0</v>
      </c>
    </row>
    <row r="238" customFormat="false" ht="15" hidden="false" customHeight="false" outlineLevel="0" collapsed="false">
      <c r="A238" s="10" t="n">
        <v>163</v>
      </c>
      <c r="B238" s="10" t="n">
        <v>5</v>
      </c>
      <c r="C238" s="10" t="s">
        <v>161</v>
      </c>
      <c r="D238" s="10" t="s">
        <v>80</v>
      </c>
      <c r="E238" s="12" t="n">
        <v>46265</v>
      </c>
      <c r="F238" s="10" t="n">
        <v>3</v>
      </c>
      <c r="G238" s="12" t="n">
        <v>46286</v>
      </c>
      <c r="H238" s="13" t="n">
        <v>1</v>
      </c>
      <c r="I238" s="10" t="s">
        <v>113</v>
      </c>
      <c r="J238" s="14" t="str">
        <f aca="false">IFERROR(VLOOKUP(D238,Role_Mapping!$A$5:$D$31,2,FALSE()),"UNMAPPED")</f>
        <v>Solutions Consultant</v>
      </c>
      <c r="K238" s="14" t="str">
        <f aca="false">IFERROR(VLOOKUP(D238,Role_Mapping!$A$5:$D$31,3,FALSE()),"IN")</f>
        <v>IN</v>
      </c>
      <c r="L238" s="15" t="n">
        <f aca="false">IFERROR(SUMPRODUCT((Rate_Card!$A$5:$A$34=J238)*(Rate_Card!$B$5:$B$34=K238)*Rate_Card!$C$5:$C$34),0)</f>
        <v>683</v>
      </c>
      <c r="M238" s="10" t="n">
        <f aca="false">F238*5</f>
        <v>15</v>
      </c>
      <c r="N238" s="16" t="n">
        <f aca="false">L238*M238*H238</f>
        <v>10245</v>
      </c>
      <c r="O238" s="10" t="n">
        <f aca="false">(G238-E238)+1</f>
        <v>22</v>
      </c>
      <c r="P238" s="14" t="str">
        <f aca="false">IFERROR(VLOOKUP(D238,Role_Mapping!$A$5:$D$31,4,FALSE()),"UNMAPPED")</f>
        <v>Power BI &amp; Consulting</v>
      </c>
      <c r="Q238" s="16" t="n">
        <f aca="false">$N238*MAX(0,(MIN($G238,DATE(2026,7,31))-MAX($E238,DATE(2026,7,1))+1))/$O238</f>
        <v>0</v>
      </c>
      <c r="R238" s="16" t="n">
        <f aca="false">$N238*MAX(0,(MIN($G238,DATE(2026,8,31))-MAX($E238,DATE(2026,8,1))+1))/$O238</f>
        <v>465.681818181818</v>
      </c>
      <c r="S238" s="16" t="n">
        <f aca="false">$N238*MAX(0,(MIN($G238,DATE(2026,9,30))-MAX($E238,DATE(2026,9,1))+1))/$O238</f>
        <v>9779.31818181818</v>
      </c>
      <c r="T238" s="16" t="n">
        <f aca="false">$N238*MAX(0,(MIN($G238,DATE(2026,10,31))-MAX($E238,DATE(2026,10,1))+1))/$O238</f>
        <v>0</v>
      </c>
      <c r="U238" s="16" t="n">
        <f aca="false">$N238*MAX(0,(MIN($G238,DATE(2026,11,30))-MAX($E238,DATE(2026,11,1))+1))/$O238</f>
        <v>0</v>
      </c>
      <c r="V238" s="16" t="n">
        <f aca="false">$N238*MAX(0,(MIN($G238,DATE(2026,12,31))-MAX($E238,DATE(2026,12,1))+1))/$O238</f>
        <v>0</v>
      </c>
      <c r="W238" s="17" t="n">
        <f aca="false">$H238*MAX(0,(MIN($G238,DATE(2026,7,31))-MAX($E238,DATE(2026,7,1))+1))/30.4</f>
        <v>0</v>
      </c>
      <c r="X238" s="17" t="n">
        <f aca="false">$H238*MAX(0,(MIN($G238,DATE(2026,8,31))-MAX($E238,DATE(2026,8,1))+1))/30.4</f>
        <v>0.0328947368421053</v>
      </c>
      <c r="Y238" s="17" t="n">
        <f aca="false">$H238*MAX(0,(MIN($G238,DATE(2026,9,30))-MAX($E238,DATE(2026,9,1))+1))/30.4</f>
        <v>0.690789473684211</v>
      </c>
      <c r="Z238" s="17" t="n">
        <f aca="false">$H238*MAX(0,(MIN($G238,DATE(2026,10,31))-MAX($E238,DATE(2026,10,1))+1))/30.4</f>
        <v>0</v>
      </c>
      <c r="AA238" s="17" t="n">
        <f aca="false">$H238*MAX(0,(MIN($G238,DATE(2026,11,30))-MAX($E238,DATE(2026,11,1))+1))/30.4</f>
        <v>0</v>
      </c>
      <c r="AB238" s="17" t="n">
        <f aca="false">$H238*MAX(0,(MIN($G238,DATE(2026,12,31))-MAX($E238,DATE(2026,12,1))+1))/30.4</f>
        <v>0</v>
      </c>
    </row>
    <row r="239" customFormat="false" ht="15" hidden="false" customHeight="false" outlineLevel="0" collapsed="false">
      <c r="A239" s="10" t="n">
        <v>163</v>
      </c>
      <c r="B239" s="10" t="n">
        <v>5</v>
      </c>
      <c r="C239" s="10" t="s">
        <v>161</v>
      </c>
      <c r="D239" s="10" t="s">
        <v>76</v>
      </c>
      <c r="E239" s="12" t="n">
        <v>46265</v>
      </c>
      <c r="F239" s="10" t="n">
        <v>3</v>
      </c>
      <c r="G239" s="12" t="n">
        <v>46286</v>
      </c>
      <c r="H239" s="13" t="n">
        <v>1</v>
      </c>
      <c r="I239" s="10" t="s">
        <v>113</v>
      </c>
      <c r="J239" s="14" t="str">
        <f aca="false">IFERROR(VLOOKUP(D239,Role_Mapping!$A$5:$D$31,2,FALSE()),"UNMAPPED")</f>
        <v>Senior Software Engineer</v>
      </c>
      <c r="K239" s="14" t="str">
        <f aca="false">IFERROR(VLOOKUP(D239,Role_Mapping!$A$5:$D$31,3,FALSE()),"IN")</f>
        <v>IN</v>
      </c>
      <c r="L239" s="15" t="n">
        <f aca="false">IFERROR(SUMPRODUCT((Rate_Card!$A$5:$A$34=J239)*(Rate_Card!$B$5:$B$34=K239)*Rate_Card!$C$5:$C$34),0)</f>
        <v>585</v>
      </c>
      <c r="M239" s="10" t="n">
        <f aca="false">F239*5</f>
        <v>15</v>
      </c>
      <c r="N239" s="16" t="n">
        <f aca="false">L239*M239*H239</f>
        <v>8775</v>
      </c>
      <c r="O239" s="10" t="n">
        <f aca="false">(G239-E239)+1</f>
        <v>22</v>
      </c>
      <c r="P239" s="14" t="str">
        <f aca="false">IFERROR(VLOOKUP(D239,Role_Mapping!$A$5:$D$31,4,FALSE()),"UNMAPPED")</f>
        <v>Full Stack</v>
      </c>
      <c r="Q239" s="16" t="n">
        <f aca="false">$N239*MAX(0,(MIN($G239,DATE(2026,7,31))-MAX($E239,DATE(2026,7,1))+1))/$O239</f>
        <v>0</v>
      </c>
      <c r="R239" s="16" t="n">
        <f aca="false">$N239*MAX(0,(MIN($G239,DATE(2026,8,31))-MAX($E239,DATE(2026,8,1))+1))/$O239</f>
        <v>398.863636363636</v>
      </c>
      <c r="S239" s="16" t="n">
        <f aca="false">$N239*MAX(0,(MIN($G239,DATE(2026,9,30))-MAX($E239,DATE(2026,9,1))+1))/$O239</f>
        <v>8376.13636363636</v>
      </c>
      <c r="T239" s="16" t="n">
        <f aca="false">$N239*MAX(0,(MIN($G239,DATE(2026,10,31))-MAX($E239,DATE(2026,10,1))+1))/$O239</f>
        <v>0</v>
      </c>
      <c r="U239" s="16" t="n">
        <f aca="false">$N239*MAX(0,(MIN($G239,DATE(2026,11,30))-MAX($E239,DATE(2026,11,1))+1))/$O239</f>
        <v>0</v>
      </c>
      <c r="V239" s="16" t="n">
        <f aca="false">$N239*MAX(0,(MIN($G239,DATE(2026,12,31))-MAX($E239,DATE(2026,12,1))+1))/$O239</f>
        <v>0</v>
      </c>
      <c r="W239" s="17" t="n">
        <f aca="false">$H239*MAX(0,(MIN($G239,DATE(2026,7,31))-MAX($E239,DATE(2026,7,1))+1))/30.4</f>
        <v>0</v>
      </c>
      <c r="X239" s="17" t="n">
        <f aca="false">$H239*MAX(0,(MIN($G239,DATE(2026,8,31))-MAX($E239,DATE(2026,8,1))+1))/30.4</f>
        <v>0.0328947368421053</v>
      </c>
      <c r="Y239" s="17" t="n">
        <f aca="false">$H239*MAX(0,(MIN($G239,DATE(2026,9,30))-MAX($E239,DATE(2026,9,1))+1))/30.4</f>
        <v>0.690789473684211</v>
      </c>
      <c r="Z239" s="17" t="n">
        <f aca="false">$H239*MAX(0,(MIN($G239,DATE(2026,10,31))-MAX($E239,DATE(2026,10,1))+1))/30.4</f>
        <v>0</v>
      </c>
      <c r="AA239" s="17" t="n">
        <f aca="false">$H239*MAX(0,(MIN($G239,DATE(2026,11,30))-MAX($E239,DATE(2026,11,1))+1))/30.4</f>
        <v>0</v>
      </c>
      <c r="AB239" s="17" t="n">
        <f aca="false">$H239*MAX(0,(MIN($G239,DATE(2026,12,31))-MAX($E239,DATE(2026,12,1))+1))/30.4</f>
        <v>0</v>
      </c>
    </row>
    <row r="240" customFormat="false" ht="15" hidden="false" customHeight="false" outlineLevel="0" collapsed="false">
      <c r="A240" s="10" t="n">
        <v>164</v>
      </c>
      <c r="B240" s="10" t="n">
        <v>3</v>
      </c>
      <c r="C240" s="10" t="s">
        <v>162</v>
      </c>
      <c r="D240" s="10" t="s">
        <v>67</v>
      </c>
      <c r="E240" s="12" t="n">
        <v>46204</v>
      </c>
      <c r="F240" s="10" t="n">
        <v>5</v>
      </c>
      <c r="G240" s="12" t="n">
        <v>46239</v>
      </c>
      <c r="H240" s="13" t="n">
        <v>1</v>
      </c>
      <c r="I240" s="10" t="s">
        <v>113</v>
      </c>
      <c r="J240" s="14" t="str">
        <f aca="false">IFERROR(VLOOKUP(D240,Role_Mapping!$A$5:$D$31,2,FALSE()),"UNMAPPED")</f>
        <v>Senior Associate Consultant</v>
      </c>
      <c r="K240" s="14" t="str">
        <f aca="false">IFERROR(VLOOKUP(D240,Role_Mapping!$A$5:$D$31,3,FALSE()),"IN")</f>
        <v>IN</v>
      </c>
      <c r="L240" s="15" t="n">
        <f aca="false">IFERROR(SUMPRODUCT((Rate_Card!$A$5:$A$34=J240)*(Rate_Card!$B$5:$B$34=K240)*Rate_Card!$C$5:$C$34),0)</f>
        <v>683</v>
      </c>
      <c r="M240" s="10" t="n">
        <f aca="false">F240*5</f>
        <v>25</v>
      </c>
      <c r="N240" s="16" t="n">
        <f aca="false">L240*M240*H240</f>
        <v>17075</v>
      </c>
      <c r="O240" s="10" t="n">
        <f aca="false">(G240-E240)+1</f>
        <v>36</v>
      </c>
      <c r="P240" s="14" t="str">
        <f aca="false">IFERROR(VLOOKUP(D240,Role_Mapping!$A$5:$D$31,4,FALSE()),"UNMAPPED")</f>
        <v>Consulting</v>
      </c>
      <c r="Q240" s="16" t="n">
        <f aca="false">$N240*MAX(0,(MIN($G240,DATE(2026,7,31))-MAX($E240,DATE(2026,7,1))+1))/$O240</f>
        <v>14703.4722222222</v>
      </c>
      <c r="R240" s="16" t="n">
        <f aca="false">$N240*MAX(0,(MIN($G240,DATE(2026,8,31))-MAX($E240,DATE(2026,8,1))+1))/$O240</f>
        <v>2371.52777777778</v>
      </c>
      <c r="S240" s="16" t="n">
        <f aca="false">$N240*MAX(0,(MIN($G240,DATE(2026,9,30))-MAX($E240,DATE(2026,9,1))+1))/$O240</f>
        <v>0</v>
      </c>
      <c r="T240" s="16" t="n">
        <f aca="false">$N240*MAX(0,(MIN($G240,DATE(2026,10,31))-MAX($E240,DATE(2026,10,1))+1))/$O240</f>
        <v>0</v>
      </c>
      <c r="U240" s="16" t="n">
        <f aca="false">$N240*MAX(0,(MIN($G240,DATE(2026,11,30))-MAX($E240,DATE(2026,11,1))+1))/$O240</f>
        <v>0</v>
      </c>
      <c r="V240" s="16" t="n">
        <f aca="false">$N240*MAX(0,(MIN($G240,DATE(2026,12,31))-MAX($E240,DATE(2026,12,1))+1))/$O240</f>
        <v>0</v>
      </c>
      <c r="W240" s="17" t="n">
        <f aca="false">$H240*MAX(0,(MIN($G240,DATE(2026,7,31))-MAX($E240,DATE(2026,7,1))+1))/30.4</f>
        <v>1.01973684210526</v>
      </c>
      <c r="X240" s="17" t="n">
        <f aca="false">$H240*MAX(0,(MIN($G240,DATE(2026,8,31))-MAX($E240,DATE(2026,8,1))+1))/30.4</f>
        <v>0.164473684210526</v>
      </c>
      <c r="Y240" s="17" t="n">
        <f aca="false">$H240*MAX(0,(MIN($G240,DATE(2026,9,30))-MAX($E240,DATE(2026,9,1))+1))/30.4</f>
        <v>0</v>
      </c>
      <c r="Z240" s="17" t="n">
        <f aca="false">$H240*MAX(0,(MIN($G240,DATE(2026,10,31))-MAX($E240,DATE(2026,10,1))+1))/30.4</f>
        <v>0</v>
      </c>
      <c r="AA240" s="17" t="n">
        <f aca="false">$H240*MAX(0,(MIN($G240,DATE(2026,11,30))-MAX($E240,DATE(2026,11,1))+1))/30.4</f>
        <v>0</v>
      </c>
      <c r="AB240" s="17" t="n">
        <f aca="false">$H240*MAX(0,(MIN($G240,DATE(2026,12,31))-MAX($E240,DATE(2026,12,1))+1))/30.4</f>
        <v>0</v>
      </c>
    </row>
    <row r="241" customFormat="false" ht="15" hidden="false" customHeight="false" outlineLevel="0" collapsed="false">
      <c r="A241" s="10" t="n">
        <v>165</v>
      </c>
      <c r="B241" s="10" t="n">
        <v>5</v>
      </c>
      <c r="C241" s="10" t="s">
        <v>163</v>
      </c>
      <c r="D241" s="10" t="s">
        <v>45</v>
      </c>
      <c r="E241" s="12" t="n">
        <v>46223</v>
      </c>
      <c r="F241" s="10" t="n">
        <v>7</v>
      </c>
      <c r="G241" s="12" t="n">
        <v>46272</v>
      </c>
      <c r="H241" s="13" t="n">
        <v>1</v>
      </c>
      <c r="I241" s="10" t="s">
        <v>113</v>
      </c>
      <c r="J241" s="14" t="str">
        <f aca="false">IFERROR(VLOOKUP(D241,Role_Mapping!$A$5:$D$31,2,FALSE()),"UNMAPPED")</f>
        <v>Associate Consultant</v>
      </c>
      <c r="K241" s="14" t="str">
        <f aca="false">IFERROR(VLOOKUP(D241,Role_Mapping!$A$5:$D$31,3,FALSE()),"IN")</f>
        <v>IN</v>
      </c>
      <c r="L241" s="15" t="n">
        <f aca="false">IFERROR(SUMPRODUCT((Rate_Card!$A$5:$A$34=J241)*(Rate_Card!$B$5:$B$34=K241)*Rate_Card!$C$5:$C$34),0)</f>
        <v>585</v>
      </c>
      <c r="M241" s="10" t="n">
        <f aca="false">F241*5</f>
        <v>35</v>
      </c>
      <c r="N241" s="16" t="n">
        <f aca="false">L241*M241*H241</f>
        <v>20475</v>
      </c>
      <c r="O241" s="10" t="n">
        <f aca="false">(G241-E241)+1</f>
        <v>50</v>
      </c>
      <c r="P241" s="14" t="str">
        <f aca="false">IFERROR(VLOOKUP(D241,Role_Mapping!$A$5:$D$31,4,FALSE()),"UNMAPPED")</f>
        <v>Consulting</v>
      </c>
      <c r="Q241" s="16" t="n">
        <f aca="false">$N241*MAX(0,(MIN($G241,DATE(2026,7,31))-MAX($E241,DATE(2026,7,1))+1))/$O241</f>
        <v>4914</v>
      </c>
      <c r="R241" s="16" t="n">
        <f aca="false">$N241*MAX(0,(MIN($G241,DATE(2026,8,31))-MAX($E241,DATE(2026,8,1))+1))/$O241</f>
        <v>12694.5</v>
      </c>
      <c r="S241" s="16" t="n">
        <f aca="false">$N241*MAX(0,(MIN($G241,DATE(2026,9,30))-MAX($E241,DATE(2026,9,1))+1))/$O241</f>
        <v>2866.5</v>
      </c>
      <c r="T241" s="16" t="n">
        <f aca="false">$N241*MAX(0,(MIN($G241,DATE(2026,10,31))-MAX($E241,DATE(2026,10,1))+1))/$O241</f>
        <v>0</v>
      </c>
      <c r="U241" s="16" t="n">
        <f aca="false">$N241*MAX(0,(MIN($G241,DATE(2026,11,30))-MAX($E241,DATE(2026,11,1))+1))/$O241</f>
        <v>0</v>
      </c>
      <c r="V241" s="16" t="n">
        <f aca="false">$N241*MAX(0,(MIN($G241,DATE(2026,12,31))-MAX($E241,DATE(2026,12,1))+1))/$O241</f>
        <v>0</v>
      </c>
      <c r="W241" s="17" t="n">
        <f aca="false">$H241*MAX(0,(MIN($G241,DATE(2026,7,31))-MAX($E241,DATE(2026,7,1))+1))/30.4</f>
        <v>0.394736842105263</v>
      </c>
      <c r="X241" s="17" t="n">
        <f aca="false">$H241*MAX(0,(MIN($G241,DATE(2026,8,31))-MAX($E241,DATE(2026,8,1))+1))/30.4</f>
        <v>1.01973684210526</v>
      </c>
      <c r="Y241" s="17" t="n">
        <f aca="false">$H241*MAX(0,(MIN($G241,DATE(2026,9,30))-MAX($E241,DATE(2026,9,1))+1))/30.4</f>
        <v>0.230263157894737</v>
      </c>
      <c r="Z241" s="17" t="n">
        <f aca="false">$H241*MAX(0,(MIN($G241,DATE(2026,10,31))-MAX($E241,DATE(2026,10,1))+1))/30.4</f>
        <v>0</v>
      </c>
      <c r="AA241" s="17" t="n">
        <f aca="false">$H241*MAX(0,(MIN($G241,DATE(2026,11,30))-MAX($E241,DATE(2026,11,1))+1))/30.4</f>
        <v>0</v>
      </c>
      <c r="AB241" s="17" t="n">
        <f aca="false">$H241*MAX(0,(MIN($G241,DATE(2026,12,31))-MAX($E241,DATE(2026,12,1))+1))/30.4</f>
        <v>0</v>
      </c>
    </row>
    <row r="242" customFormat="false" ht="15" hidden="false" customHeight="false" outlineLevel="0" collapsed="false">
      <c r="A242" s="10" t="n">
        <v>165</v>
      </c>
      <c r="B242" s="10" t="n">
        <v>5</v>
      </c>
      <c r="C242" s="10" t="s">
        <v>163</v>
      </c>
      <c r="D242" s="10" t="s">
        <v>58</v>
      </c>
      <c r="E242" s="12" t="n">
        <v>46223</v>
      </c>
      <c r="F242" s="10" t="n">
        <v>7</v>
      </c>
      <c r="G242" s="12" t="n">
        <v>46272</v>
      </c>
      <c r="H242" s="13" t="n">
        <v>1</v>
      </c>
      <c r="I242" s="10" t="s">
        <v>113</v>
      </c>
      <c r="J242" s="14" t="str">
        <f aca="false">IFERROR(VLOOKUP(D242,Role_Mapping!$A$5:$D$31,2,FALSE()),"UNMAPPED")</f>
        <v>Solutions Enabler</v>
      </c>
      <c r="K242" s="14" t="str">
        <f aca="false">IFERROR(VLOOKUP(D242,Role_Mapping!$A$5:$D$31,3,FALSE()),"IN")</f>
        <v>IN</v>
      </c>
      <c r="L242" s="15" t="n">
        <f aca="false">IFERROR(SUMPRODUCT((Rate_Card!$A$5:$A$34=J242)*(Rate_Card!$B$5:$B$34=K242)*Rate_Card!$C$5:$C$34),0)</f>
        <v>683</v>
      </c>
      <c r="M242" s="10" t="n">
        <f aca="false">F242*5</f>
        <v>35</v>
      </c>
      <c r="N242" s="16" t="n">
        <f aca="false">L242*M242*H242</f>
        <v>23905</v>
      </c>
      <c r="O242" s="10" t="n">
        <f aca="false">(G242-E242)+1</f>
        <v>50</v>
      </c>
      <c r="P242" s="14" t="str">
        <f aca="false">IFERROR(VLOOKUP(D242,Role_Mapping!$A$5:$D$31,4,FALSE()),"UNMAPPED")</f>
        <v>Data Engineering</v>
      </c>
      <c r="Q242" s="16" t="n">
        <f aca="false">$N242*MAX(0,(MIN($G242,DATE(2026,7,31))-MAX($E242,DATE(2026,7,1))+1))/$O242</f>
        <v>5737.2</v>
      </c>
      <c r="R242" s="16" t="n">
        <f aca="false">$N242*MAX(0,(MIN($G242,DATE(2026,8,31))-MAX($E242,DATE(2026,8,1))+1))/$O242</f>
        <v>14821.1</v>
      </c>
      <c r="S242" s="16" t="n">
        <f aca="false">$N242*MAX(0,(MIN($G242,DATE(2026,9,30))-MAX($E242,DATE(2026,9,1))+1))/$O242</f>
        <v>3346.7</v>
      </c>
      <c r="T242" s="16" t="n">
        <f aca="false">$N242*MAX(0,(MIN($G242,DATE(2026,10,31))-MAX($E242,DATE(2026,10,1))+1))/$O242</f>
        <v>0</v>
      </c>
      <c r="U242" s="16" t="n">
        <f aca="false">$N242*MAX(0,(MIN($G242,DATE(2026,11,30))-MAX($E242,DATE(2026,11,1))+1))/$O242</f>
        <v>0</v>
      </c>
      <c r="V242" s="16" t="n">
        <f aca="false">$N242*MAX(0,(MIN($G242,DATE(2026,12,31))-MAX($E242,DATE(2026,12,1))+1))/$O242</f>
        <v>0</v>
      </c>
      <c r="W242" s="17" t="n">
        <f aca="false">$H242*MAX(0,(MIN($G242,DATE(2026,7,31))-MAX($E242,DATE(2026,7,1))+1))/30.4</f>
        <v>0.394736842105263</v>
      </c>
      <c r="X242" s="17" t="n">
        <f aca="false">$H242*MAX(0,(MIN($G242,DATE(2026,8,31))-MAX($E242,DATE(2026,8,1))+1))/30.4</f>
        <v>1.01973684210526</v>
      </c>
      <c r="Y242" s="17" t="n">
        <f aca="false">$H242*MAX(0,(MIN($G242,DATE(2026,9,30))-MAX($E242,DATE(2026,9,1))+1))/30.4</f>
        <v>0.230263157894737</v>
      </c>
      <c r="Z242" s="17" t="n">
        <f aca="false">$H242*MAX(0,(MIN($G242,DATE(2026,10,31))-MAX($E242,DATE(2026,10,1))+1))/30.4</f>
        <v>0</v>
      </c>
      <c r="AA242" s="17" t="n">
        <f aca="false">$H242*MAX(0,(MIN($G242,DATE(2026,11,30))-MAX($E242,DATE(2026,11,1))+1))/30.4</f>
        <v>0</v>
      </c>
      <c r="AB242" s="17" t="n">
        <f aca="false">$H242*MAX(0,(MIN($G242,DATE(2026,12,31))-MAX($E242,DATE(2026,12,1))+1))/30.4</f>
        <v>0</v>
      </c>
    </row>
    <row r="243" customFormat="false" ht="15" hidden="false" customHeight="false" outlineLevel="0" collapsed="false">
      <c r="A243" s="10" t="n">
        <v>165</v>
      </c>
      <c r="B243" s="10" t="n">
        <v>5</v>
      </c>
      <c r="C243" s="10" t="s">
        <v>163</v>
      </c>
      <c r="D243" s="10" t="s">
        <v>75</v>
      </c>
      <c r="E243" s="12" t="n">
        <v>46223</v>
      </c>
      <c r="F243" s="10" t="n">
        <v>7</v>
      </c>
      <c r="G243" s="12" t="n">
        <v>46272</v>
      </c>
      <c r="H243" s="13" t="n">
        <v>1</v>
      </c>
      <c r="I243" s="10" t="s">
        <v>113</v>
      </c>
      <c r="J243" s="14" t="str">
        <f aca="false">IFERROR(VLOOKUP(D243,Role_Mapping!$A$5:$D$31,2,FALSE()),"UNMAPPED")</f>
        <v>Software Engineer</v>
      </c>
      <c r="K243" s="14" t="str">
        <f aca="false">IFERROR(VLOOKUP(D243,Role_Mapping!$A$5:$D$31,3,FALSE()),"IN")</f>
        <v>IN</v>
      </c>
      <c r="L243" s="15" t="n">
        <f aca="false">IFERROR(SUMPRODUCT((Rate_Card!$A$5:$A$34=J243)*(Rate_Card!$B$5:$B$34=K243)*Rate_Card!$C$5:$C$34),0)</f>
        <v>455</v>
      </c>
      <c r="M243" s="10" t="n">
        <f aca="false">F243*5</f>
        <v>35</v>
      </c>
      <c r="N243" s="16" t="n">
        <f aca="false">L243*M243*H243</f>
        <v>15925</v>
      </c>
      <c r="O243" s="10" t="n">
        <f aca="false">(G243-E243)+1</f>
        <v>50</v>
      </c>
      <c r="P243" s="14" t="str">
        <f aca="false">IFERROR(VLOOKUP(D243,Role_Mapping!$A$5:$D$31,4,FALSE()),"UNMAPPED")</f>
        <v>Full Stack</v>
      </c>
      <c r="Q243" s="16" t="n">
        <f aca="false">$N243*MAX(0,(MIN($G243,DATE(2026,7,31))-MAX($E243,DATE(2026,7,1))+1))/$O243</f>
        <v>3822</v>
      </c>
      <c r="R243" s="16" t="n">
        <f aca="false">$N243*MAX(0,(MIN($G243,DATE(2026,8,31))-MAX($E243,DATE(2026,8,1))+1))/$O243</f>
        <v>9873.5</v>
      </c>
      <c r="S243" s="16" t="n">
        <f aca="false">$N243*MAX(0,(MIN($G243,DATE(2026,9,30))-MAX($E243,DATE(2026,9,1))+1))/$O243</f>
        <v>2229.5</v>
      </c>
      <c r="T243" s="16" t="n">
        <f aca="false">$N243*MAX(0,(MIN($G243,DATE(2026,10,31))-MAX($E243,DATE(2026,10,1))+1))/$O243</f>
        <v>0</v>
      </c>
      <c r="U243" s="16" t="n">
        <f aca="false">$N243*MAX(0,(MIN($G243,DATE(2026,11,30))-MAX($E243,DATE(2026,11,1))+1))/$O243</f>
        <v>0</v>
      </c>
      <c r="V243" s="16" t="n">
        <f aca="false">$N243*MAX(0,(MIN($G243,DATE(2026,12,31))-MAX($E243,DATE(2026,12,1))+1))/$O243</f>
        <v>0</v>
      </c>
      <c r="W243" s="17" t="n">
        <f aca="false">$H243*MAX(0,(MIN($G243,DATE(2026,7,31))-MAX($E243,DATE(2026,7,1))+1))/30.4</f>
        <v>0.394736842105263</v>
      </c>
      <c r="X243" s="17" t="n">
        <f aca="false">$H243*MAX(0,(MIN($G243,DATE(2026,8,31))-MAX($E243,DATE(2026,8,1))+1))/30.4</f>
        <v>1.01973684210526</v>
      </c>
      <c r="Y243" s="17" t="n">
        <f aca="false">$H243*MAX(0,(MIN($G243,DATE(2026,9,30))-MAX($E243,DATE(2026,9,1))+1))/30.4</f>
        <v>0.230263157894737</v>
      </c>
      <c r="Z243" s="17" t="n">
        <f aca="false">$H243*MAX(0,(MIN($G243,DATE(2026,10,31))-MAX($E243,DATE(2026,10,1))+1))/30.4</f>
        <v>0</v>
      </c>
      <c r="AA243" s="17" t="n">
        <f aca="false">$H243*MAX(0,(MIN($G243,DATE(2026,11,30))-MAX($E243,DATE(2026,11,1))+1))/30.4</f>
        <v>0</v>
      </c>
      <c r="AB243" s="17" t="n">
        <f aca="false">$H243*MAX(0,(MIN($G243,DATE(2026,12,31))-MAX($E243,DATE(2026,12,1))+1))/30.4</f>
        <v>0</v>
      </c>
    </row>
    <row r="244" customFormat="false" ht="15" hidden="false" customHeight="false" outlineLevel="0" collapsed="false">
      <c r="A244" s="10" t="n">
        <v>166</v>
      </c>
      <c r="B244" s="10" t="n">
        <v>5</v>
      </c>
      <c r="C244" s="10" t="s">
        <v>164</v>
      </c>
      <c r="D244" s="10" t="s">
        <v>72</v>
      </c>
      <c r="E244" s="12" t="n">
        <v>46237</v>
      </c>
      <c r="F244" s="10" t="n">
        <v>16</v>
      </c>
      <c r="G244" s="12" t="n">
        <v>46349</v>
      </c>
      <c r="H244" s="13" t="n">
        <v>0.25</v>
      </c>
      <c r="I244" s="10" t="s">
        <v>113</v>
      </c>
      <c r="J244" s="14" t="str">
        <f aca="false">IFERROR(VLOOKUP(D244,Role_Mapping!$A$5:$D$31,2,FALSE()),"UNMAPPED")</f>
        <v>Senior Consultant</v>
      </c>
      <c r="K244" s="14" t="str">
        <f aca="false">IFERROR(VLOOKUP(D244,Role_Mapping!$A$5:$D$31,3,FALSE()),"IN")</f>
        <v>UK</v>
      </c>
      <c r="L244" s="15" t="n">
        <f aca="false">IFERROR(SUMPRODUCT((Rate_Card!$A$5:$A$34=J244)*(Rate_Card!$B$5:$B$34=K244)*Rate_Card!$C$5:$C$34),0)</f>
        <v>2798</v>
      </c>
      <c r="M244" s="10" t="n">
        <f aca="false">F244*5</f>
        <v>80</v>
      </c>
      <c r="N244" s="16" t="n">
        <f aca="false">L244*M244*H244</f>
        <v>55960</v>
      </c>
      <c r="O244" s="10" t="n">
        <f aca="false">(G244-E244)+1</f>
        <v>113</v>
      </c>
      <c r="P244" s="14" t="str">
        <f aca="false">IFERROR(VLOOKUP(D244,Role_Mapping!$A$5:$D$31,4,FALSE()),"UNMAPPED")</f>
        <v>Consulting</v>
      </c>
      <c r="Q244" s="16" t="n">
        <f aca="false">$N244*MAX(0,(MIN($G244,DATE(2026,7,31))-MAX($E244,DATE(2026,7,1))+1))/$O244</f>
        <v>0</v>
      </c>
      <c r="R244" s="16" t="n">
        <f aca="false">$N244*MAX(0,(MIN($G244,DATE(2026,8,31))-MAX($E244,DATE(2026,8,1))+1))/$O244</f>
        <v>14361.4159292035</v>
      </c>
      <c r="S244" s="16" t="n">
        <f aca="false">$N244*MAX(0,(MIN($G244,DATE(2026,9,30))-MAX($E244,DATE(2026,9,1))+1))/$O244</f>
        <v>14856.6371681416</v>
      </c>
      <c r="T244" s="16" t="n">
        <f aca="false">$N244*MAX(0,(MIN($G244,DATE(2026,10,31))-MAX($E244,DATE(2026,10,1))+1))/$O244</f>
        <v>15351.8584070796</v>
      </c>
      <c r="U244" s="16" t="n">
        <f aca="false">$N244*MAX(0,(MIN($G244,DATE(2026,11,30))-MAX($E244,DATE(2026,11,1))+1))/$O244</f>
        <v>11390.0884955752</v>
      </c>
      <c r="V244" s="16" t="n">
        <f aca="false">$N244*MAX(0,(MIN($G244,DATE(2026,12,31))-MAX($E244,DATE(2026,12,1))+1))/$O244</f>
        <v>0</v>
      </c>
      <c r="W244" s="17" t="n">
        <f aca="false">$H244*MAX(0,(MIN($G244,DATE(2026,7,31))-MAX($E244,DATE(2026,7,1))+1))/30.4</f>
        <v>0</v>
      </c>
      <c r="X244" s="17" t="n">
        <f aca="false">$H244*MAX(0,(MIN($G244,DATE(2026,8,31))-MAX($E244,DATE(2026,8,1))+1))/30.4</f>
        <v>0.238486842105263</v>
      </c>
      <c r="Y244" s="17" t="n">
        <f aca="false">$H244*MAX(0,(MIN($G244,DATE(2026,9,30))-MAX($E244,DATE(2026,9,1))+1))/30.4</f>
        <v>0.24671052631579</v>
      </c>
      <c r="Z244" s="17" t="n">
        <f aca="false">$H244*MAX(0,(MIN($G244,DATE(2026,10,31))-MAX($E244,DATE(2026,10,1))+1))/30.4</f>
        <v>0.254934210526316</v>
      </c>
      <c r="AA244" s="17" t="n">
        <f aca="false">$H244*MAX(0,(MIN($G244,DATE(2026,11,30))-MAX($E244,DATE(2026,11,1))+1))/30.4</f>
        <v>0.189144736842105</v>
      </c>
      <c r="AB244" s="17" t="n">
        <f aca="false">$H244*MAX(0,(MIN($G244,DATE(2026,12,31))-MAX($E244,DATE(2026,12,1))+1))/30.4</f>
        <v>0</v>
      </c>
    </row>
    <row r="245" customFormat="false" ht="15" hidden="false" customHeight="false" outlineLevel="0" collapsed="false">
      <c r="A245" s="10" t="n">
        <v>166</v>
      </c>
      <c r="B245" s="10" t="n">
        <v>5</v>
      </c>
      <c r="C245" s="10" t="s">
        <v>164</v>
      </c>
      <c r="D245" s="10" t="s">
        <v>67</v>
      </c>
      <c r="E245" s="12" t="n">
        <v>46237</v>
      </c>
      <c r="F245" s="10" t="n">
        <v>16</v>
      </c>
      <c r="G245" s="12" t="n">
        <v>46349</v>
      </c>
      <c r="H245" s="13" t="n">
        <v>1</v>
      </c>
      <c r="I245" s="10" t="s">
        <v>113</v>
      </c>
      <c r="J245" s="14" t="str">
        <f aca="false">IFERROR(VLOOKUP(D245,Role_Mapping!$A$5:$D$31,2,FALSE()),"UNMAPPED")</f>
        <v>Senior Associate Consultant</v>
      </c>
      <c r="K245" s="14" t="str">
        <f aca="false">IFERROR(VLOOKUP(D245,Role_Mapping!$A$5:$D$31,3,FALSE()),"IN")</f>
        <v>IN</v>
      </c>
      <c r="L245" s="15" t="n">
        <f aca="false">IFERROR(SUMPRODUCT((Rate_Card!$A$5:$A$34=J245)*(Rate_Card!$B$5:$B$34=K245)*Rate_Card!$C$5:$C$34),0)</f>
        <v>683</v>
      </c>
      <c r="M245" s="10" t="n">
        <f aca="false">F245*5</f>
        <v>80</v>
      </c>
      <c r="N245" s="16" t="n">
        <f aca="false">L245*M245*H245</f>
        <v>54640</v>
      </c>
      <c r="O245" s="10" t="n">
        <f aca="false">(G245-E245)+1</f>
        <v>113</v>
      </c>
      <c r="P245" s="14" t="str">
        <f aca="false">IFERROR(VLOOKUP(D245,Role_Mapping!$A$5:$D$31,4,FALSE()),"UNMAPPED")</f>
        <v>Consulting</v>
      </c>
      <c r="Q245" s="16" t="n">
        <f aca="false">$N245*MAX(0,(MIN($G245,DATE(2026,7,31))-MAX($E245,DATE(2026,7,1))+1))/$O245</f>
        <v>0</v>
      </c>
      <c r="R245" s="16" t="n">
        <f aca="false">$N245*MAX(0,(MIN($G245,DATE(2026,8,31))-MAX($E245,DATE(2026,8,1))+1))/$O245</f>
        <v>14022.6548672566</v>
      </c>
      <c r="S245" s="16" t="n">
        <f aca="false">$N245*MAX(0,(MIN($G245,DATE(2026,9,30))-MAX($E245,DATE(2026,9,1))+1))/$O245</f>
        <v>14506.1946902655</v>
      </c>
      <c r="T245" s="16" t="n">
        <f aca="false">$N245*MAX(0,(MIN($G245,DATE(2026,10,31))-MAX($E245,DATE(2026,10,1))+1))/$O245</f>
        <v>14989.7345132743</v>
      </c>
      <c r="U245" s="16" t="n">
        <f aca="false">$N245*MAX(0,(MIN($G245,DATE(2026,11,30))-MAX($E245,DATE(2026,11,1))+1))/$O245</f>
        <v>11121.4159292035</v>
      </c>
      <c r="V245" s="16" t="n">
        <f aca="false">$N245*MAX(0,(MIN($G245,DATE(2026,12,31))-MAX($E245,DATE(2026,12,1))+1))/$O245</f>
        <v>0</v>
      </c>
      <c r="W245" s="17" t="n">
        <f aca="false">$H245*MAX(0,(MIN($G245,DATE(2026,7,31))-MAX($E245,DATE(2026,7,1))+1))/30.4</f>
        <v>0</v>
      </c>
      <c r="X245" s="17" t="n">
        <f aca="false">$H245*MAX(0,(MIN($G245,DATE(2026,8,31))-MAX($E245,DATE(2026,8,1))+1))/30.4</f>
        <v>0.953947368421053</v>
      </c>
      <c r="Y245" s="17" t="n">
        <f aca="false">$H245*MAX(0,(MIN($G245,DATE(2026,9,30))-MAX($E245,DATE(2026,9,1))+1))/30.4</f>
        <v>0.986842105263158</v>
      </c>
      <c r="Z245" s="17" t="n">
        <f aca="false">$H245*MAX(0,(MIN($G245,DATE(2026,10,31))-MAX($E245,DATE(2026,10,1))+1))/30.4</f>
        <v>1.01973684210526</v>
      </c>
      <c r="AA245" s="17" t="n">
        <f aca="false">$H245*MAX(0,(MIN($G245,DATE(2026,11,30))-MAX($E245,DATE(2026,11,1))+1))/30.4</f>
        <v>0.756578947368421</v>
      </c>
      <c r="AB245" s="17" t="n">
        <f aca="false">$H245*MAX(0,(MIN($G245,DATE(2026,12,31))-MAX($E245,DATE(2026,12,1))+1))/30.4</f>
        <v>0</v>
      </c>
    </row>
    <row r="246" customFormat="false" ht="15" hidden="false" customHeight="false" outlineLevel="0" collapsed="false">
      <c r="A246" s="10" t="n">
        <v>166</v>
      </c>
      <c r="B246" s="10" t="n">
        <v>5</v>
      </c>
      <c r="C246" s="10" t="s">
        <v>164</v>
      </c>
      <c r="D246" s="10" t="s">
        <v>64</v>
      </c>
      <c r="E246" s="12" t="n">
        <v>46237</v>
      </c>
      <c r="F246" s="10" t="n">
        <v>16</v>
      </c>
      <c r="G246" s="12" t="n">
        <v>46349</v>
      </c>
      <c r="H246" s="13" t="n">
        <v>0.125</v>
      </c>
      <c r="I246" s="10" t="s">
        <v>113</v>
      </c>
      <c r="J246" s="14" t="str">
        <f aca="false">IFERROR(VLOOKUP(D246,Role_Mapping!$A$5:$D$31,2,FALSE()),"UNMAPPED")</f>
        <v>Principal Technology Architect</v>
      </c>
      <c r="K246" s="14" t="str">
        <f aca="false">IFERROR(VLOOKUP(D246,Role_Mapping!$A$5:$D$31,3,FALSE()),"IN")</f>
        <v>IN</v>
      </c>
      <c r="L246" s="15" t="n">
        <f aca="false">IFERROR(SUMPRODUCT((Rate_Card!$A$5:$A$34=J246)*(Rate_Card!$B$5:$B$34=K246)*Rate_Card!$C$5:$C$34),0)</f>
        <v>845</v>
      </c>
      <c r="M246" s="10" t="n">
        <f aca="false">F246*5</f>
        <v>80</v>
      </c>
      <c r="N246" s="16" t="n">
        <f aca="false">L246*M246*H246</f>
        <v>8450</v>
      </c>
      <c r="O246" s="10" t="n">
        <f aca="false">(G246-E246)+1</f>
        <v>113</v>
      </c>
      <c r="P246" s="14" t="str">
        <f aca="false">IFERROR(VLOOKUP(D246,Role_Mapping!$A$5:$D$31,4,FALSE()),"UNMAPPED")</f>
        <v>Full Stack</v>
      </c>
      <c r="Q246" s="16" t="n">
        <f aca="false">$N246*MAX(0,(MIN($G246,DATE(2026,7,31))-MAX($E246,DATE(2026,7,1))+1))/$O246</f>
        <v>0</v>
      </c>
      <c r="R246" s="16" t="n">
        <f aca="false">$N246*MAX(0,(MIN($G246,DATE(2026,8,31))-MAX($E246,DATE(2026,8,1))+1))/$O246</f>
        <v>2168.58407079646</v>
      </c>
      <c r="S246" s="16" t="n">
        <f aca="false">$N246*MAX(0,(MIN($G246,DATE(2026,9,30))-MAX($E246,DATE(2026,9,1))+1))/$O246</f>
        <v>2243.36283185841</v>
      </c>
      <c r="T246" s="16" t="n">
        <f aca="false">$N246*MAX(0,(MIN($G246,DATE(2026,10,31))-MAX($E246,DATE(2026,10,1))+1))/$O246</f>
        <v>2318.14159292035</v>
      </c>
      <c r="U246" s="16" t="n">
        <f aca="false">$N246*MAX(0,(MIN($G246,DATE(2026,11,30))-MAX($E246,DATE(2026,11,1))+1))/$O246</f>
        <v>1719.91150442478</v>
      </c>
      <c r="V246" s="16" t="n">
        <f aca="false">$N246*MAX(0,(MIN($G246,DATE(2026,12,31))-MAX($E246,DATE(2026,12,1))+1))/$O246</f>
        <v>0</v>
      </c>
      <c r="W246" s="17" t="n">
        <f aca="false">$H246*MAX(0,(MIN($G246,DATE(2026,7,31))-MAX($E246,DATE(2026,7,1))+1))/30.4</f>
        <v>0</v>
      </c>
      <c r="X246" s="17" t="n">
        <f aca="false">$H246*MAX(0,(MIN($G246,DATE(2026,8,31))-MAX($E246,DATE(2026,8,1))+1))/30.4</f>
        <v>0.119243421052632</v>
      </c>
      <c r="Y246" s="17" t="n">
        <f aca="false">$H246*MAX(0,(MIN($G246,DATE(2026,9,30))-MAX($E246,DATE(2026,9,1))+1))/30.4</f>
        <v>0.123355263157895</v>
      </c>
      <c r="Z246" s="17" t="n">
        <f aca="false">$H246*MAX(0,(MIN($G246,DATE(2026,10,31))-MAX($E246,DATE(2026,10,1))+1))/30.4</f>
        <v>0.127467105263158</v>
      </c>
      <c r="AA246" s="17" t="n">
        <f aca="false">$H246*MAX(0,(MIN($G246,DATE(2026,11,30))-MAX($E246,DATE(2026,11,1))+1))/30.4</f>
        <v>0.0945723684210526</v>
      </c>
      <c r="AB246" s="17" t="n">
        <f aca="false">$H246*MAX(0,(MIN($G246,DATE(2026,12,31))-MAX($E246,DATE(2026,12,1))+1))/30.4</f>
        <v>0</v>
      </c>
    </row>
    <row r="247" customFormat="false" ht="15" hidden="false" customHeight="false" outlineLevel="0" collapsed="false">
      <c r="A247" s="10" t="n">
        <v>166</v>
      </c>
      <c r="B247" s="10" t="n">
        <v>5</v>
      </c>
      <c r="C247" s="10" t="s">
        <v>164</v>
      </c>
      <c r="D247" s="10" t="s">
        <v>80</v>
      </c>
      <c r="E247" s="12" t="n">
        <v>46237</v>
      </c>
      <c r="F247" s="10" t="n">
        <v>16</v>
      </c>
      <c r="G247" s="12" t="n">
        <v>46349</v>
      </c>
      <c r="H247" s="13" t="n">
        <v>0.5</v>
      </c>
      <c r="I247" s="10" t="s">
        <v>113</v>
      </c>
      <c r="J247" s="14" t="str">
        <f aca="false">IFERROR(VLOOKUP(D247,Role_Mapping!$A$5:$D$31,2,FALSE()),"UNMAPPED")</f>
        <v>Solutions Consultant</v>
      </c>
      <c r="K247" s="14" t="str">
        <f aca="false">IFERROR(VLOOKUP(D247,Role_Mapping!$A$5:$D$31,3,FALSE()),"IN")</f>
        <v>IN</v>
      </c>
      <c r="L247" s="15" t="n">
        <f aca="false">IFERROR(SUMPRODUCT((Rate_Card!$A$5:$A$34=J247)*(Rate_Card!$B$5:$B$34=K247)*Rate_Card!$C$5:$C$34),0)</f>
        <v>683</v>
      </c>
      <c r="M247" s="10" t="n">
        <f aca="false">F247*5</f>
        <v>80</v>
      </c>
      <c r="N247" s="16" t="n">
        <f aca="false">L247*M247*H247</f>
        <v>27320</v>
      </c>
      <c r="O247" s="10" t="n">
        <f aca="false">(G247-E247)+1</f>
        <v>113</v>
      </c>
      <c r="P247" s="14" t="str">
        <f aca="false">IFERROR(VLOOKUP(D247,Role_Mapping!$A$5:$D$31,4,FALSE()),"UNMAPPED")</f>
        <v>Power BI &amp; Consulting</v>
      </c>
      <c r="Q247" s="16" t="n">
        <f aca="false">$N247*MAX(0,(MIN($G247,DATE(2026,7,31))-MAX($E247,DATE(2026,7,1))+1))/$O247</f>
        <v>0</v>
      </c>
      <c r="R247" s="16" t="n">
        <f aca="false">$N247*MAX(0,(MIN($G247,DATE(2026,8,31))-MAX($E247,DATE(2026,8,1))+1))/$O247</f>
        <v>7011.32743362832</v>
      </c>
      <c r="S247" s="16" t="n">
        <f aca="false">$N247*MAX(0,(MIN($G247,DATE(2026,9,30))-MAX($E247,DATE(2026,9,1))+1))/$O247</f>
        <v>7253.09734513274</v>
      </c>
      <c r="T247" s="16" t="n">
        <f aca="false">$N247*MAX(0,(MIN($G247,DATE(2026,10,31))-MAX($E247,DATE(2026,10,1))+1))/$O247</f>
        <v>7494.86725663717</v>
      </c>
      <c r="U247" s="16" t="n">
        <f aca="false">$N247*MAX(0,(MIN($G247,DATE(2026,11,30))-MAX($E247,DATE(2026,11,1))+1))/$O247</f>
        <v>5560.70796460177</v>
      </c>
      <c r="V247" s="16" t="n">
        <f aca="false">$N247*MAX(0,(MIN($G247,DATE(2026,12,31))-MAX($E247,DATE(2026,12,1))+1))/$O247</f>
        <v>0</v>
      </c>
      <c r="W247" s="17" t="n">
        <f aca="false">$H247*MAX(0,(MIN($G247,DATE(2026,7,31))-MAX($E247,DATE(2026,7,1))+1))/30.4</f>
        <v>0</v>
      </c>
      <c r="X247" s="17" t="n">
        <f aca="false">$H247*MAX(0,(MIN($G247,DATE(2026,8,31))-MAX($E247,DATE(2026,8,1))+1))/30.4</f>
        <v>0.476973684210526</v>
      </c>
      <c r="Y247" s="17" t="n">
        <f aca="false">$H247*MAX(0,(MIN($G247,DATE(2026,9,30))-MAX($E247,DATE(2026,9,1))+1))/30.4</f>
        <v>0.493421052631579</v>
      </c>
      <c r="Z247" s="17" t="n">
        <f aca="false">$H247*MAX(0,(MIN($G247,DATE(2026,10,31))-MAX($E247,DATE(2026,10,1))+1))/30.4</f>
        <v>0.509868421052632</v>
      </c>
      <c r="AA247" s="17" t="n">
        <f aca="false">$H247*MAX(0,(MIN($G247,DATE(2026,11,30))-MAX($E247,DATE(2026,11,1))+1))/30.4</f>
        <v>0.378289473684211</v>
      </c>
      <c r="AB247" s="17" t="n">
        <f aca="false">$H247*MAX(0,(MIN($G247,DATE(2026,12,31))-MAX($E247,DATE(2026,12,1))+1))/30.4</f>
        <v>0</v>
      </c>
    </row>
    <row r="248" customFormat="false" ht="15" hidden="false" customHeight="false" outlineLevel="0" collapsed="false">
      <c r="A248" s="10" t="n">
        <v>166</v>
      </c>
      <c r="B248" s="10" t="n">
        <v>5</v>
      </c>
      <c r="C248" s="10" t="s">
        <v>164</v>
      </c>
      <c r="D248" s="10" t="s">
        <v>58</v>
      </c>
      <c r="E248" s="12" t="n">
        <v>46237</v>
      </c>
      <c r="F248" s="10" t="n">
        <v>16</v>
      </c>
      <c r="G248" s="12" t="n">
        <v>46349</v>
      </c>
      <c r="H248" s="13" t="n">
        <v>1</v>
      </c>
      <c r="I248" s="10" t="s">
        <v>113</v>
      </c>
      <c r="J248" s="14" t="str">
        <f aca="false">IFERROR(VLOOKUP(D248,Role_Mapping!$A$5:$D$31,2,FALSE()),"UNMAPPED")</f>
        <v>Solutions Enabler</v>
      </c>
      <c r="K248" s="14" t="str">
        <f aca="false">IFERROR(VLOOKUP(D248,Role_Mapping!$A$5:$D$31,3,FALSE()),"IN")</f>
        <v>IN</v>
      </c>
      <c r="L248" s="15" t="n">
        <f aca="false">IFERROR(SUMPRODUCT((Rate_Card!$A$5:$A$34=J248)*(Rate_Card!$B$5:$B$34=K248)*Rate_Card!$C$5:$C$34),0)</f>
        <v>683</v>
      </c>
      <c r="M248" s="10" t="n">
        <f aca="false">F248*5</f>
        <v>80</v>
      </c>
      <c r="N248" s="16" t="n">
        <f aca="false">L248*M248*H248</f>
        <v>54640</v>
      </c>
      <c r="O248" s="10" t="n">
        <f aca="false">(G248-E248)+1</f>
        <v>113</v>
      </c>
      <c r="P248" s="14" t="str">
        <f aca="false">IFERROR(VLOOKUP(D248,Role_Mapping!$A$5:$D$31,4,FALSE()),"UNMAPPED")</f>
        <v>Data Engineering</v>
      </c>
      <c r="Q248" s="16" t="n">
        <f aca="false">$N248*MAX(0,(MIN($G248,DATE(2026,7,31))-MAX($E248,DATE(2026,7,1))+1))/$O248</f>
        <v>0</v>
      </c>
      <c r="R248" s="16" t="n">
        <f aca="false">$N248*MAX(0,(MIN($G248,DATE(2026,8,31))-MAX($E248,DATE(2026,8,1))+1))/$O248</f>
        <v>14022.6548672566</v>
      </c>
      <c r="S248" s="16" t="n">
        <f aca="false">$N248*MAX(0,(MIN($G248,DATE(2026,9,30))-MAX($E248,DATE(2026,9,1))+1))/$O248</f>
        <v>14506.1946902655</v>
      </c>
      <c r="T248" s="16" t="n">
        <f aca="false">$N248*MAX(0,(MIN($G248,DATE(2026,10,31))-MAX($E248,DATE(2026,10,1))+1))/$O248</f>
        <v>14989.7345132743</v>
      </c>
      <c r="U248" s="16" t="n">
        <f aca="false">$N248*MAX(0,(MIN($G248,DATE(2026,11,30))-MAX($E248,DATE(2026,11,1))+1))/$O248</f>
        <v>11121.4159292035</v>
      </c>
      <c r="V248" s="16" t="n">
        <f aca="false">$N248*MAX(0,(MIN($G248,DATE(2026,12,31))-MAX($E248,DATE(2026,12,1))+1))/$O248</f>
        <v>0</v>
      </c>
      <c r="W248" s="17" t="n">
        <f aca="false">$H248*MAX(0,(MIN($G248,DATE(2026,7,31))-MAX($E248,DATE(2026,7,1))+1))/30.4</f>
        <v>0</v>
      </c>
      <c r="X248" s="17" t="n">
        <f aca="false">$H248*MAX(0,(MIN($G248,DATE(2026,8,31))-MAX($E248,DATE(2026,8,1))+1))/30.4</f>
        <v>0.953947368421053</v>
      </c>
      <c r="Y248" s="17" t="n">
        <f aca="false">$H248*MAX(0,(MIN($G248,DATE(2026,9,30))-MAX($E248,DATE(2026,9,1))+1))/30.4</f>
        <v>0.986842105263158</v>
      </c>
      <c r="Z248" s="17" t="n">
        <f aca="false">$H248*MAX(0,(MIN($G248,DATE(2026,10,31))-MAX($E248,DATE(2026,10,1))+1))/30.4</f>
        <v>1.01973684210526</v>
      </c>
      <c r="AA248" s="17" t="n">
        <f aca="false">$H248*MAX(0,(MIN($G248,DATE(2026,11,30))-MAX($E248,DATE(2026,11,1))+1))/30.4</f>
        <v>0.756578947368421</v>
      </c>
      <c r="AB248" s="17" t="n">
        <f aca="false">$H248*MAX(0,(MIN($G248,DATE(2026,12,31))-MAX($E248,DATE(2026,12,1))+1))/30.4</f>
        <v>0</v>
      </c>
    </row>
    <row r="249" customFormat="false" ht="15" hidden="false" customHeight="false" outlineLevel="0" collapsed="false">
      <c r="A249" s="10" t="n">
        <v>166</v>
      </c>
      <c r="B249" s="10" t="n">
        <v>5</v>
      </c>
      <c r="C249" s="10" t="s">
        <v>164</v>
      </c>
      <c r="D249" s="10" t="s">
        <v>76</v>
      </c>
      <c r="E249" s="12" t="n">
        <v>46237</v>
      </c>
      <c r="F249" s="10" t="n">
        <v>16</v>
      </c>
      <c r="G249" s="12" t="n">
        <v>46349</v>
      </c>
      <c r="H249" s="13" t="n">
        <v>1</v>
      </c>
      <c r="I249" s="10" t="s">
        <v>113</v>
      </c>
      <c r="J249" s="14" t="str">
        <f aca="false">IFERROR(VLOOKUP(D249,Role_Mapping!$A$5:$D$31,2,FALSE()),"UNMAPPED")</f>
        <v>Senior Software Engineer</v>
      </c>
      <c r="K249" s="14" t="str">
        <f aca="false">IFERROR(VLOOKUP(D249,Role_Mapping!$A$5:$D$31,3,FALSE()),"IN")</f>
        <v>IN</v>
      </c>
      <c r="L249" s="15" t="n">
        <f aca="false">IFERROR(SUMPRODUCT((Rate_Card!$A$5:$A$34=J249)*(Rate_Card!$B$5:$B$34=K249)*Rate_Card!$C$5:$C$34),0)</f>
        <v>585</v>
      </c>
      <c r="M249" s="10" t="n">
        <f aca="false">F249*5</f>
        <v>80</v>
      </c>
      <c r="N249" s="16" t="n">
        <f aca="false">L249*M249*H249</f>
        <v>46800</v>
      </c>
      <c r="O249" s="10" t="n">
        <f aca="false">(G249-E249)+1</f>
        <v>113</v>
      </c>
      <c r="P249" s="14" t="str">
        <f aca="false">IFERROR(VLOOKUP(D249,Role_Mapping!$A$5:$D$31,4,FALSE()),"UNMAPPED")</f>
        <v>Full Stack</v>
      </c>
      <c r="Q249" s="16" t="n">
        <f aca="false">$N249*MAX(0,(MIN($G249,DATE(2026,7,31))-MAX($E249,DATE(2026,7,1))+1))/$O249</f>
        <v>0</v>
      </c>
      <c r="R249" s="16" t="n">
        <f aca="false">$N249*MAX(0,(MIN($G249,DATE(2026,8,31))-MAX($E249,DATE(2026,8,1))+1))/$O249</f>
        <v>12010.6194690266</v>
      </c>
      <c r="S249" s="16" t="n">
        <f aca="false">$N249*MAX(0,(MIN($G249,DATE(2026,9,30))-MAX($E249,DATE(2026,9,1))+1))/$O249</f>
        <v>12424.7787610619</v>
      </c>
      <c r="T249" s="16" t="n">
        <f aca="false">$N249*MAX(0,(MIN($G249,DATE(2026,10,31))-MAX($E249,DATE(2026,10,1))+1))/$O249</f>
        <v>12838.9380530973</v>
      </c>
      <c r="U249" s="16" t="n">
        <f aca="false">$N249*MAX(0,(MIN($G249,DATE(2026,11,30))-MAX($E249,DATE(2026,11,1))+1))/$O249</f>
        <v>9525.66371681416</v>
      </c>
      <c r="V249" s="16" t="n">
        <f aca="false">$N249*MAX(0,(MIN($G249,DATE(2026,12,31))-MAX($E249,DATE(2026,12,1))+1))/$O249</f>
        <v>0</v>
      </c>
      <c r="W249" s="17" t="n">
        <f aca="false">$H249*MAX(0,(MIN($G249,DATE(2026,7,31))-MAX($E249,DATE(2026,7,1))+1))/30.4</f>
        <v>0</v>
      </c>
      <c r="X249" s="17" t="n">
        <f aca="false">$H249*MAX(0,(MIN($G249,DATE(2026,8,31))-MAX($E249,DATE(2026,8,1))+1))/30.4</f>
        <v>0.953947368421053</v>
      </c>
      <c r="Y249" s="17" t="n">
        <f aca="false">$H249*MAX(0,(MIN($G249,DATE(2026,9,30))-MAX($E249,DATE(2026,9,1))+1))/30.4</f>
        <v>0.986842105263158</v>
      </c>
      <c r="Z249" s="17" t="n">
        <f aca="false">$H249*MAX(0,(MIN($G249,DATE(2026,10,31))-MAX($E249,DATE(2026,10,1))+1))/30.4</f>
        <v>1.01973684210526</v>
      </c>
      <c r="AA249" s="17" t="n">
        <f aca="false">$H249*MAX(0,(MIN($G249,DATE(2026,11,30))-MAX($E249,DATE(2026,11,1))+1))/30.4</f>
        <v>0.756578947368421</v>
      </c>
      <c r="AB249" s="17" t="n">
        <f aca="false">$H249*MAX(0,(MIN($G249,DATE(2026,12,31))-MAX($E249,DATE(2026,12,1))+1))/30.4</f>
        <v>0</v>
      </c>
    </row>
    <row r="250" customFormat="false" ht="15" hidden="false" customHeight="false" outlineLevel="0" collapsed="false">
      <c r="A250" s="10" t="n">
        <v>166</v>
      </c>
      <c r="B250" s="10" t="n">
        <v>5</v>
      </c>
      <c r="C250" s="10" t="s">
        <v>164</v>
      </c>
      <c r="D250" s="10" t="s">
        <v>75</v>
      </c>
      <c r="E250" s="12" t="n">
        <v>46237</v>
      </c>
      <c r="F250" s="10" t="n">
        <v>16</v>
      </c>
      <c r="G250" s="12" t="n">
        <v>46349</v>
      </c>
      <c r="H250" s="13" t="n">
        <v>1</v>
      </c>
      <c r="I250" s="10" t="s">
        <v>113</v>
      </c>
      <c r="J250" s="14" t="str">
        <f aca="false">IFERROR(VLOOKUP(D250,Role_Mapping!$A$5:$D$31,2,FALSE()),"UNMAPPED")</f>
        <v>Software Engineer</v>
      </c>
      <c r="K250" s="14" t="str">
        <f aca="false">IFERROR(VLOOKUP(D250,Role_Mapping!$A$5:$D$31,3,FALSE()),"IN")</f>
        <v>IN</v>
      </c>
      <c r="L250" s="15" t="n">
        <f aca="false">IFERROR(SUMPRODUCT((Rate_Card!$A$5:$A$34=J250)*(Rate_Card!$B$5:$B$34=K250)*Rate_Card!$C$5:$C$34),0)</f>
        <v>455</v>
      </c>
      <c r="M250" s="10" t="n">
        <f aca="false">F250*5</f>
        <v>80</v>
      </c>
      <c r="N250" s="16" t="n">
        <f aca="false">L250*M250*H250</f>
        <v>36400</v>
      </c>
      <c r="O250" s="10" t="n">
        <f aca="false">(G250-E250)+1</f>
        <v>113</v>
      </c>
      <c r="P250" s="14" t="str">
        <f aca="false">IFERROR(VLOOKUP(D250,Role_Mapping!$A$5:$D$31,4,FALSE()),"UNMAPPED")</f>
        <v>Full Stack</v>
      </c>
      <c r="Q250" s="16" t="n">
        <f aca="false">$N250*MAX(0,(MIN($G250,DATE(2026,7,31))-MAX($E250,DATE(2026,7,1))+1))/$O250</f>
        <v>0</v>
      </c>
      <c r="R250" s="16" t="n">
        <f aca="false">$N250*MAX(0,(MIN($G250,DATE(2026,8,31))-MAX($E250,DATE(2026,8,1))+1))/$O250</f>
        <v>9341.59292035398</v>
      </c>
      <c r="S250" s="16" t="n">
        <f aca="false">$N250*MAX(0,(MIN($G250,DATE(2026,9,30))-MAX($E250,DATE(2026,9,1))+1))/$O250</f>
        <v>9663.71681415929</v>
      </c>
      <c r="T250" s="16" t="n">
        <f aca="false">$N250*MAX(0,(MIN($G250,DATE(2026,10,31))-MAX($E250,DATE(2026,10,1))+1))/$O250</f>
        <v>9985.8407079646</v>
      </c>
      <c r="U250" s="16" t="n">
        <f aca="false">$N250*MAX(0,(MIN($G250,DATE(2026,11,30))-MAX($E250,DATE(2026,11,1))+1))/$O250</f>
        <v>7408.84955752212</v>
      </c>
      <c r="V250" s="16" t="n">
        <f aca="false">$N250*MAX(0,(MIN($G250,DATE(2026,12,31))-MAX($E250,DATE(2026,12,1))+1))/$O250</f>
        <v>0</v>
      </c>
      <c r="W250" s="17" t="n">
        <f aca="false">$H250*MAX(0,(MIN($G250,DATE(2026,7,31))-MAX($E250,DATE(2026,7,1))+1))/30.4</f>
        <v>0</v>
      </c>
      <c r="X250" s="17" t="n">
        <f aca="false">$H250*MAX(0,(MIN($G250,DATE(2026,8,31))-MAX($E250,DATE(2026,8,1))+1))/30.4</f>
        <v>0.953947368421053</v>
      </c>
      <c r="Y250" s="17" t="n">
        <f aca="false">$H250*MAX(0,(MIN($G250,DATE(2026,9,30))-MAX($E250,DATE(2026,9,1))+1))/30.4</f>
        <v>0.986842105263158</v>
      </c>
      <c r="Z250" s="17" t="n">
        <f aca="false">$H250*MAX(0,(MIN($G250,DATE(2026,10,31))-MAX($E250,DATE(2026,10,1))+1))/30.4</f>
        <v>1.01973684210526</v>
      </c>
      <c r="AA250" s="17" t="n">
        <f aca="false">$H250*MAX(0,(MIN($G250,DATE(2026,11,30))-MAX($E250,DATE(2026,11,1))+1))/30.4</f>
        <v>0.756578947368421</v>
      </c>
      <c r="AB250" s="17" t="n">
        <f aca="false">$H250*MAX(0,(MIN($G250,DATE(2026,12,31))-MAX($E250,DATE(2026,12,1))+1))/30.4</f>
        <v>0</v>
      </c>
    </row>
    <row r="251" customFormat="false" ht="15" hidden="false" customHeight="false" outlineLevel="0" collapsed="false">
      <c r="A251" s="10" t="n">
        <v>166</v>
      </c>
      <c r="B251" s="10" t="n">
        <v>5</v>
      </c>
      <c r="C251" s="10" t="s">
        <v>164</v>
      </c>
      <c r="D251" s="10" t="s">
        <v>75</v>
      </c>
      <c r="E251" s="12" t="n">
        <v>46237</v>
      </c>
      <c r="F251" s="10" t="n">
        <v>16</v>
      </c>
      <c r="G251" s="12" t="n">
        <v>46349</v>
      </c>
      <c r="H251" s="13" t="n">
        <v>0.125</v>
      </c>
      <c r="I251" s="10" t="s">
        <v>113</v>
      </c>
      <c r="J251" s="14" t="str">
        <f aca="false">IFERROR(VLOOKUP(D251,Role_Mapping!$A$5:$D$31,2,FALSE()),"UNMAPPED")</f>
        <v>Software Engineer</v>
      </c>
      <c r="K251" s="14" t="str">
        <f aca="false">IFERROR(VLOOKUP(D251,Role_Mapping!$A$5:$D$31,3,FALSE()),"IN")</f>
        <v>IN</v>
      </c>
      <c r="L251" s="15" t="n">
        <f aca="false">IFERROR(SUMPRODUCT((Rate_Card!$A$5:$A$34=J251)*(Rate_Card!$B$5:$B$34=K251)*Rate_Card!$C$5:$C$34),0)</f>
        <v>455</v>
      </c>
      <c r="M251" s="10" t="n">
        <f aca="false">F251*5</f>
        <v>80</v>
      </c>
      <c r="N251" s="16" t="n">
        <f aca="false">L251*M251*H251</f>
        <v>4550</v>
      </c>
      <c r="O251" s="10" t="n">
        <f aca="false">(G251-E251)+1</f>
        <v>113</v>
      </c>
      <c r="P251" s="14" t="str">
        <f aca="false">IFERROR(VLOOKUP(D251,Role_Mapping!$A$5:$D$31,4,FALSE()),"UNMAPPED")</f>
        <v>Full Stack</v>
      </c>
      <c r="Q251" s="16" t="n">
        <f aca="false">$N251*MAX(0,(MIN($G251,DATE(2026,7,31))-MAX($E251,DATE(2026,7,1))+1))/$O251</f>
        <v>0</v>
      </c>
      <c r="R251" s="16" t="n">
        <f aca="false">$N251*MAX(0,(MIN($G251,DATE(2026,8,31))-MAX($E251,DATE(2026,8,1))+1))/$O251</f>
        <v>1167.69911504425</v>
      </c>
      <c r="S251" s="16" t="n">
        <f aca="false">$N251*MAX(0,(MIN($G251,DATE(2026,9,30))-MAX($E251,DATE(2026,9,1))+1))/$O251</f>
        <v>1207.96460176991</v>
      </c>
      <c r="T251" s="16" t="n">
        <f aca="false">$N251*MAX(0,(MIN($G251,DATE(2026,10,31))-MAX($E251,DATE(2026,10,1))+1))/$O251</f>
        <v>1248.23008849558</v>
      </c>
      <c r="U251" s="16" t="n">
        <f aca="false">$N251*MAX(0,(MIN($G251,DATE(2026,11,30))-MAX($E251,DATE(2026,11,1))+1))/$O251</f>
        <v>926.106194690266</v>
      </c>
      <c r="V251" s="16" t="n">
        <f aca="false">$N251*MAX(0,(MIN($G251,DATE(2026,12,31))-MAX($E251,DATE(2026,12,1))+1))/$O251</f>
        <v>0</v>
      </c>
      <c r="W251" s="17" t="n">
        <f aca="false">$H251*MAX(0,(MIN($G251,DATE(2026,7,31))-MAX($E251,DATE(2026,7,1))+1))/30.4</f>
        <v>0</v>
      </c>
      <c r="X251" s="17" t="n">
        <f aca="false">$H251*MAX(0,(MIN($G251,DATE(2026,8,31))-MAX($E251,DATE(2026,8,1))+1))/30.4</f>
        <v>0.119243421052632</v>
      </c>
      <c r="Y251" s="17" t="n">
        <f aca="false">$H251*MAX(0,(MIN($G251,DATE(2026,9,30))-MAX($E251,DATE(2026,9,1))+1))/30.4</f>
        <v>0.123355263157895</v>
      </c>
      <c r="Z251" s="17" t="n">
        <f aca="false">$H251*MAX(0,(MIN($G251,DATE(2026,10,31))-MAX($E251,DATE(2026,10,1))+1))/30.4</f>
        <v>0.127467105263158</v>
      </c>
      <c r="AA251" s="17" t="n">
        <f aca="false">$H251*MAX(0,(MIN($G251,DATE(2026,11,30))-MAX($E251,DATE(2026,11,1))+1))/30.4</f>
        <v>0.0945723684210526</v>
      </c>
      <c r="AB251" s="17" t="n">
        <f aca="false">$H251*MAX(0,(MIN($G251,DATE(2026,12,31))-MAX($E251,DATE(2026,12,1))+1))/30.4</f>
        <v>0</v>
      </c>
    </row>
    <row r="252" customFormat="false" ht="15" hidden="false" customHeight="false" outlineLevel="0" collapsed="false">
      <c r="A252" s="10" t="n">
        <v>167</v>
      </c>
      <c r="B252" s="10" t="n">
        <v>2</v>
      </c>
      <c r="C252" s="10" t="s">
        <v>165</v>
      </c>
      <c r="D252" s="10" t="s">
        <v>62</v>
      </c>
      <c r="E252" s="12" t="n">
        <v>46244</v>
      </c>
      <c r="F252" s="10" t="n">
        <v>6</v>
      </c>
      <c r="G252" s="12" t="n">
        <v>46286</v>
      </c>
      <c r="H252" s="13" t="n">
        <v>0.125</v>
      </c>
      <c r="I252" s="10" t="s">
        <v>123</v>
      </c>
      <c r="J252" s="14" t="str">
        <f aca="false">IFERROR(VLOOKUP(D252,Role_Mapping!$A$5:$D$31,2,FALSE()),"UNMAPPED")</f>
        <v>Associate Partner</v>
      </c>
      <c r="K252" s="14" t="str">
        <f aca="false">IFERROR(VLOOKUP(D252,Role_Mapping!$A$5:$D$31,3,FALSE()),"IN")</f>
        <v>UK</v>
      </c>
      <c r="L252" s="15" t="n">
        <f aca="false">IFERROR(SUMPRODUCT((Rate_Card!$A$5:$A$34=J252)*(Rate_Card!$B$5:$B$34=K252)*Rate_Card!$C$5:$C$34),0)</f>
        <v>3526</v>
      </c>
      <c r="M252" s="10" t="n">
        <f aca="false">F252*5</f>
        <v>30</v>
      </c>
      <c r="N252" s="16" t="n">
        <f aca="false">L252*M252*H252</f>
        <v>13222.5</v>
      </c>
      <c r="O252" s="10" t="n">
        <f aca="false">(G252-E252)+1</f>
        <v>43</v>
      </c>
      <c r="P252" s="14" t="str">
        <f aca="false">IFERROR(VLOOKUP(D252,Role_Mapping!$A$5:$D$31,4,FALSE()),"UNMAPPED")</f>
        <v>GTM</v>
      </c>
      <c r="Q252" s="16" t="n">
        <f aca="false">$N252*MAX(0,(MIN($G252,DATE(2026,7,31))-MAX($E252,DATE(2026,7,1))+1))/$O252</f>
        <v>0</v>
      </c>
      <c r="R252" s="16" t="n">
        <f aca="false">$N252*MAX(0,(MIN($G252,DATE(2026,8,31))-MAX($E252,DATE(2026,8,1))+1))/$O252</f>
        <v>6765</v>
      </c>
      <c r="S252" s="16" t="n">
        <f aca="false">$N252*MAX(0,(MIN($G252,DATE(2026,9,30))-MAX($E252,DATE(2026,9,1))+1))/$O252</f>
        <v>6457.5</v>
      </c>
      <c r="T252" s="16" t="n">
        <f aca="false">$N252*MAX(0,(MIN($G252,DATE(2026,10,31))-MAX($E252,DATE(2026,10,1))+1))/$O252</f>
        <v>0</v>
      </c>
      <c r="U252" s="16" t="n">
        <f aca="false">$N252*MAX(0,(MIN($G252,DATE(2026,11,30))-MAX($E252,DATE(2026,11,1))+1))/$O252</f>
        <v>0</v>
      </c>
      <c r="V252" s="16" t="n">
        <f aca="false">$N252*MAX(0,(MIN($G252,DATE(2026,12,31))-MAX($E252,DATE(2026,12,1))+1))/$O252</f>
        <v>0</v>
      </c>
      <c r="W252" s="17" t="n">
        <f aca="false">$H252*MAX(0,(MIN($G252,DATE(2026,7,31))-MAX($E252,DATE(2026,7,1))+1))/30.4</f>
        <v>0</v>
      </c>
      <c r="X252" s="17" t="n">
        <f aca="false">$H252*MAX(0,(MIN($G252,DATE(2026,8,31))-MAX($E252,DATE(2026,8,1))+1))/30.4</f>
        <v>0.0904605263157895</v>
      </c>
      <c r="Y252" s="17" t="n">
        <f aca="false">$H252*MAX(0,(MIN($G252,DATE(2026,9,30))-MAX($E252,DATE(2026,9,1))+1))/30.4</f>
        <v>0.0863486842105263</v>
      </c>
      <c r="Z252" s="17" t="n">
        <f aca="false">$H252*MAX(0,(MIN($G252,DATE(2026,10,31))-MAX($E252,DATE(2026,10,1))+1))/30.4</f>
        <v>0</v>
      </c>
      <c r="AA252" s="17" t="n">
        <f aca="false">$H252*MAX(0,(MIN($G252,DATE(2026,11,30))-MAX($E252,DATE(2026,11,1))+1))/30.4</f>
        <v>0</v>
      </c>
      <c r="AB252" s="17" t="n">
        <f aca="false">$H252*MAX(0,(MIN($G252,DATE(2026,12,31))-MAX($E252,DATE(2026,12,1))+1))/30.4</f>
        <v>0</v>
      </c>
    </row>
    <row r="253" customFormat="false" ht="15" hidden="false" customHeight="false" outlineLevel="0" collapsed="false">
      <c r="A253" s="10" t="n">
        <v>167</v>
      </c>
      <c r="B253" s="10" t="n">
        <v>2</v>
      </c>
      <c r="C253" s="10" t="s">
        <v>165</v>
      </c>
      <c r="D253" s="10" t="s">
        <v>56</v>
      </c>
      <c r="E253" s="12" t="n">
        <v>46244</v>
      </c>
      <c r="F253" s="10" t="n">
        <v>6</v>
      </c>
      <c r="G253" s="12" t="n">
        <v>46286</v>
      </c>
      <c r="H253" s="13" t="n">
        <v>0.5</v>
      </c>
      <c r="I253" s="10" t="s">
        <v>123</v>
      </c>
      <c r="J253" s="14" t="str">
        <f aca="false">IFERROR(VLOOKUP(D253,Role_Mapping!$A$5:$D$31,2,FALSE()),"UNMAPPED")</f>
        <v>Manager</v>
      </c>
      <c r="K253" s="14" t="str">
        <f aca="false">IFERROR(VLOOKUP(D253,Role_Mapping!$A$5:$D$31,3,FALSE()),"IN")</f>
        <v>UK</v>
      </c>
      <c r="L253" s="15" t="n">
        <f aca="false">IFERROR(SUMPRODUCT((Rate_Card!$A$5:$A$34=J253)*(Rate_Card!$B$5:$B$34=K253)*Rate_Card!$C$5:$C$34),0)</f>
        <v>2984</v>
      </c>
      <c r="M253" s="10" t="n">
        <f aca="false">F253*5</f>
        <v>30</v>
      </c>
      <c r="N253" s="16" t="n">
        <f aca="false">L253*M253*H253</f>
        <v>44760</v>
      </c>
      <c r="O253" s="10" t="n">
        <f aca="false">(G253-E253)+1</f>
        <v>43</v>
      </c>
      <c r="P253" s="14" t="str">
        <f aca="false">IFERROR(VLOOKUP(D253,Role_Mapping!$A$5:$D$31,4,FALSE()),"UNMAPPED")</f>
        <v>Consulting</v>
      </c>
      <c r="Q253" s="16" t="n">
        <f aca="false">$N253*MAX(0,(MIN($G253,DATE(2026,7,31))-MAX($E253,DATE(2026,7,1))+1))/$O253</f>
        <v>0</v>
      </c>
      <c r="R253" s="16" t="n">
        <f aca="false">$N253*MAX(0,(MIN($G253,DATE(2026,8,31))-MAX($E253,DATE(2026,8,1))+1))/$O253</f>
        <v>22900.4651162791</v>
      </c>
      <c r="S253" s="16" t="n">
        <f aca="false">$N253*MAX(0,(MIN($G253,DATE(2026,9,30))-MAX($E253,DATE(2026,9,1))+1))/$O253</f>
        <v>21859.5348837209</v>
      </c>
      <c r="T253" s="16" t="n">
        <f aca="false">$N253*MAX(0,(MIN($G253,DATE(2026,10,31))-MAX($E253,DATE(2026,10,1))+1))/$O253</f>
        <v>0</v>
      </c>
      <c r="U253" s="16" t="n">
        <f aca="false">$N253*MAX(0,(MIN($G253,DATE(2026,11,30))-MAX($E253,DATE(2026,11,1))+1))/$O253</f>
        <v>0</v>
      </c>
      <c r="V253" s="16" t="n">
        <f aca="false">$N253*MAX(0,(MIN($G253,DATE(2026,12,31))-MAX($E253,DATE(2026,12,1))+1))/$O253</f>
        <v>0</v>
      </c>
      <c r="W253" s="17" t="n">
        <f aca="false">$H253*MAX(0,(MIN($G253,DATE(2026,7,31))-MAX($E253,DATE(2026,7,1))+1))/30.4</f>
        <v>0</v>
      </c>
      <c r="X253" s="17" t="n">
        <f aca="false">$H253*MAX(0,(MIN($G253,DATE(2026,8,31))-MAX($E253,DATE(2026,8,1))+1))/30.4</f>
        <v>0.361842105263158</v>
      </c>
      <c r="Y253" s="17" t="n">
        <f aca="false">$H253*MAX(0,(MIN($G253,DATE(2026,9,30))-MAX($E253,DATE(2026,9,1))+1))/30.4</f>
        <v>0.345394736842105</v>
      </c>
      <c r="Z253" s="17" t="n">
        <f aca="false">$H253*MAX(0,(MIN($G253,DATE(2026,10,31))-MAX($E253,DATE(2026,10,1))+1))/30.4</f>
        <v>0</v>
      </c>
      <c r="AA253" s="17" t="n">
        <f aca="false">$H253*MAX(0,(MIN($G253,DATE(2026,11,30))-MAX($E253,DATE(2026,11,1))+1))/30.4</f>
        <v>0</v>
      </c>
      <c r="AB253" s="17" t="n">
        <f aca="false">$H253*MAX(0,(MIN($G253,DATE(2026,12,31))-MAX($E253,DATE(2026,12,1))+1))/30.4</f>
        <v>0</v>
      </c>
    </row>
    <row r="254" customFormat="false" ht="15" hidden="false" customHeight="false" outlineLevel="0" collapsed="false">
      <c r="A254" s="10" t="n">
        <v>167</v>
      </c>
      <c r="B254" s="10" t="n">
        <v>2</v>
      </c>
      <c r="C254" s="10" t="s">
        <v>165</v>
      </c>
      <c r="D254" s="10" t="s">
        <v>71</v>
      </c>
      <c r="E254" s="12" t="n">
        <v>46244</v>
      </c>
      <c r="F254" s="10" t="n">
        <v>6</v>
      </c>
      <c r="G254" s="12" t="n">
        <v>46286</v>
      </c>
      <c r="H254" s="13" t="n">
        <v>1</v>
      </c>
      <c r="I254" s="10" t="s">
        <v>113</v>
      </c>
      <c r="J254" s="14" t="str">
        <f aca="false">IFERROR(VLOOKUP(D254,Role_Mapping!$A$5:$D$31,2,FALSE()),"UNMAPPED")</f>
        <v>Senior Associate Consultant</v>
      </c>
      <c r="K254" s="14" t="str">
        <f aca="false">IFERROR(VLOOKUP(D254,Role_Mapping!$A$5:$D$31,3,FALSE()),"IN")</f>
        <v>IN</v>
      </c>
      <c r="L254" s="15" t="n">
        <f aca="false">IFERROR(SUMPRODUCT((Rate_Card!$A$5:$A$34=J254)*(Rate_Card!$B$5:$B$34=K254)*Rate_Card!$C$5:$C$34),0)</f>
        <v>683</v>
      </c>
      <c r="M254" s="10" t="n">
        <f aca="false">F254*5</f>
        <v>30</v>
      </c>
      <c r="N254" s="16" t="n">
        <f aca="false">L254*M254*H254</f>
        <v>20490</v>
      </c>
      <c r="O254" s="10" t="n">
        <f aca="false">(G254-E254)+1</f>
        <v>43</v>
      </c>
      <c r="P254" s="14" t="str">
        <f aca="false">IFERROR(VLOOKUP(D254,Role_Mapping!$A$5:$D$31,4,FALSE()),"UNMAPPED")</f>
        <v>Consulting</v>
      </c>
      <c r="Q254" s="16" t="n">
        <f aca="false">$N254*MAX(0,(MIN($G254,DATE(2026,7,31))-MAX($E254,DATE(2026,7,1))+1))/$O254</f>
        <v>0</v>
      </c>
      <c r="R254" s="16" t="n">
        <f aca="false">$N254*MAX(0,(MIN($G254,DATE(2026,8,31))-MAX($E254,DATE(2026,8,1))+1))/$O254</f>
        <v>10483.2558139535</v>
      </c>
      <c r="S254" s="16" t="n">
        <f aca="false">$N254*MAX(0,(MIN($G254,DATE(2026,9,30))-MAX($E254,DATE(2026,9,1))+1))/$O254</f>
        <v>10006.7441860465</v>
      </c>
      <c r="T254" s="16" t="n">
        <f aca="false">$N254*MAX(0,(MIN($G254,DATE(2026,10,31))-MAX($E254,DATE(2026,10,1))+1))/$O254</f>
        <v>0</v>
      </c>
      <c r="U254" s="16" t="n">
        <f aca="false">$N254*MAX(0,(MIN($G254,DATE(2026,11,30))-MAX($E254,DATE(2026,11,1))+1))/$O254</f>
        <v>0</v>
      </c>
      <c r="V254" s="16" t="n">
        <f aca="false">$N254*MAX(0,(MIN($G254,DATE(2026,12,31))-MAX($E254,DATE(2026,12,1))+1))/$O254</f>
        <v>0</v>
      </c>
      <c r="W254" s="17" t="n">
        <f aca="false">$H254*MAX(0,(MIN($G254,DATE(2026,7,31))-MAX($E254,DATE(2026,7,1))+1))/30.4</f>
        <v>0</v>
      </c>
      <c r="X254" s="17" t="n">
        <f aca="false">$H254*MAX(0,(MIN($G254,DATE(2026,8,31))-MAX($E254,DATE(2026,8,1))+1))/30.4</f>
        <v>0.723684210526316</v>
      </c>
      <c r="Y254" s="17" t="n">
        <f aca="false">$H254*MAX(0,(MIN($G254,DATE(2026,9,30))-MAX($E254,DATE(2026,9,1))+1))/30.4</f>
        <v>0.690789473684211</v>
      </c>
      <c r="Z254" s="17" t="n">
        <f aca="false">$H254*MAX(0,(MIN($G254,DATE(2026,10,31))-MAX($E254,DATE(2026,10,1))+1))/30.4</f>
        <v>0</v>
      </c>
      <c r="AA254" s="17" t="n">
        <f aca="false">$H254*MAX(0,(MIN($G254,DATE(2026,11,30))-MAX($E254,DATE(2026,11,1))+1))/30.4</f>
        <v>0</v>
      </c>
      <c r="AB254" s="17" t="n">
        <f aca="false">$H254*MAX(0,(MIN($G254,DATE(2026,12,31))-MAX($E254,DATE(2026,12,1))+1))/30.4</f>
        <v>0</v>
      </c>
    </row>
    <row r="255" customFormat="false" ht="15" hidden="false" customHeight="false" outlineLevel="0" collapsed="false">
      <c r="A255" s="10" t="n">
        <v>167</v>
      </c>
      <c r="B255" s="10" t="n">
        <v>2</v>
      </c>
      <c r="C255" s="10" t="s">
        <v>165</v>
      </c>
      <c r="D255" s="10" t="s">
        <v>64</v>
      </c>
      <c r="E255" s="12" t="n">
        <v>46244</v>
      </c>
      <c r="F255" s="10" t="n">
        <v>6</v>
      </c>
      <c r="G255" s="12" t="n">
        <v>46286</v>
      </c>
      <c r="H255" s="13" t="n">
        <v>0.25</v>
      </c>
      <c r="I255" s="10" t="s">
        <v>113</v>
      </c>
      <c r="J255" s="14" t="str">
        <f aca="false">IFERROR(VLOOKUP(D255,Role_Mapping!$A$5:$D$31,2,FALSE()),"UNMAPPED")</f>
        <v>Principal Technology Architect</v>
      </c>
      <c r="K255" s="14" t="str">
        <f aca="false">IFERROR(VLOOKUP(D255,Role_Mapping!$A$5:$D$31,3,FALSE()),"IN")</f>
        <v>IN</v>
      </c>
      <c r="L255" s="15" t="n">
        <f aca="false">IFERROR(SUMPRODUCT((Rate_Card!$A$5:$A$34=J255)*(Rate_Card!$B$5:$B$34=K255)*Rate_Card!$C$5:$C$34),0)</f>
        <v>845</v>
      </c>
      <c r="M255" s="10" t="n">
        <f aca="false">F255*5</f>
        <v>30</v>
      </c>
      <c r="N255" s="16" t="n">
        <f aca="false">L255*M255*H255</f>
        <v>6337.5</v>
      </c>
      <c r="O255" s="10" t="n">
        <f aca="false">(G255-E255)+1</f>
        <v>43</v>
      </c>
      <c r="P255" s="14" t="str">
        <f aca="false">IFERROR(VLOOKUP(D255,Role_Mapping!$A$5:$D$31,4,FALSE()),"UNMAPPED")</f>
        <v>Full Stack</v>
      </c>
      <c r="Q255" s="16" t="n">
        <f aca="false">$N255*MAX(0,(MIN($G255,DATE(2026,7,31))-MAX($E255,DATE(2026,7,1))+1))/$O255</f>
        <v>0</v>
      </c>
      <c r="R255" s="16" t="n">
        <f aca="false">$N255*MAX(0,(MIN($G255,DATE(2026,8,31))-MAX($E255,DATE(2026,8,1))+1))/$O255</f>
        <v>3242.44186046512</v>
      </c>
      <c r="S255" s="16" t="n">
        <f aca="false">$N255*MAX(0,(MIN($G255,DATE(2026,9,30))-MAX($E255,DATE(2026,9,1))+1))/$O255</f>
        <v>3095.05813953488</v>
      </c>
      <c r="T255" s="16" t="n">
        <f aca="false">$N255*MAX(0,(MIN($G255,DATE(2026,10,31))-MAX($E255,DATE(2026,10,1))+1))/$O255</f>
        <v>0</v>
      </c>
      <c r="U255" s="16" t="n">
        <f aca="false">$N255*MAX(0,(MIN($G255,DATE(2026,11,30))-MAX($E255,DATE(2026,11,1))+1))/$O255</f>
        <v>0</v>
      </c>
      <c r="V255" s="16" t="n">
        <f aca="false">$N255*MAX(0,(MIN($G255,DATE(2026,12,31))-MAX($E255,DATE(2026,12,1))+1))/$O255</f>
        <v>0</v>
      </c>
      <c r="W255" s="17" t="n">
        <f aca="false">$H255*MAX(0,(MIN($G255,DATE(2026,7,31))-MAX($E255,DATE(2026,7,1))+1))/30.4</f>
        <v>0</v>
      </c>
      <c r="X255" s="17" t="n">
        <f aca="false">$H255*MAX(0,(MIN($G255,DATE(2026,8,31))-MAX($E255,DATE(2026,8,1))+1))/30.4</f>
        <v>0.180921052631579</v>
      </c>
      <c r="Y255" s="17" t="n">
        <f aca="false">$H255*MAX(0,(MIN($G255,DATE(2026,9,30))-MAX($E255,DATE(2026,9,1))+1))/30.4</f>
        <v>0.172697368421053</v>
      </c>
      <c r="Z255" s="17" t="n">
        <f aca="false">$H255*MAX(0,(MIN($G255,DATE(2026,10,31))-MAX($E255,DATE(2026,10,1))+1))/30.4</f>
        <v>0</v>
      </c>
      <c r="AA255" s="17" t="n">
        <f aca="false">$H255*MAX(0,(MIN($G255,DATE(2026,11,30))-MAX($E255,DATE(2026,11,1))+1))/30.4</f>
        <v>0</v>
      </c>
      <c r="AB255" s="17" t="n">
        <f aca="false">$H255*MAX(0,(MIN($G255,DATE(2026,12,31))-MAX($E255,DATE(2026,12,1))+1))/30.4</f>
        <v>0</v>
      </c>
    </row>
    <row r="256" customFormat="false" ht="15" hidden="false" customHeight="false" outlineLevel="0" collapsed="false">
      <c r="A256" s="10" t="n">
        <v>167</v>
      </c>
      <c r="B256" s="10" t="n">
        <v>2</v>
      </c>
      <c r="C256" s="10" t="s">
        <v>165</v>
      </c>
      <c r="D256" s="10" t="s">
        <v>58</v>
      </c>
      <c r="E256" s="12" t="n">
        <v>46244</v>
      </c>
      <c r="F256" s="10" t="n">
        <v>6</v>
      </c>
      <c r="G256" s="12" t="n">
        <v>46286</v>
      </c>
      <c r="H256" s="13" t="n">
        <v>1</v>
      </c>
      <c r="I256" s="10" t="s">
        <v>113</v>
      </c>
      <c r="J256" s="14" t="str">
        <f aca="false">IFERROR(VLOOKUP(D256,Role_Mapping!$A$5:$D$31,2,FALSE()),"UNMAPPED")</f>
        <v>Solutions Enabler</v>
      </c>
      <c r="K256" s="14" t="str">
        <f aca="false">IFERROR(VLOOKUP(D256,Role_Mapping!$A$5:$D$31,3,FALSE()),"IN")</f>
        <v>IN</v>
      </c>
      <c r="L256" s="15" t="n">
        <f aca="false">IFERROR(SUMPRODUCT((Rate_Card!$A$5:$A$34=J256)*(Rate_Card!$B$5:$B$34=K256)*Rate_Card!$C$5:$C$34),0)</f>
        <v>683</v>
      </c>
      <c r="M256" s="10" t="n">
        <f aca="false">F256*5</f>
        <v>30</v>
      </c>
      <c r="N256" s="16" t="n">
        <f aca="false">L256*M256*H256</f>
        <v>20490</v>
      </c>
      <c r="O256" s="10" t="n">
        <f aca="false">(G256-E256)+1</f>
        <v>43</v>
      </c>
      <c r="P256" s="14" t="str">
        <f aca="false">IFERROR(VLOOKUP(D256,Role_Mapping!$A$5:$D$31,4,FALSE()),"UNMAPPED")</f>
        <v>Data Engineering</v>
      </c>
      <c r="Q256" s="16" t="n">
        <f aca="false">$N256*MAX(0,(MIN($G256,DATE(2026,7,31))-MAX($E256,DATE(2026,7,1))+1))/$O256</f>
        <v>0</v>
      </c>
      <c r="R256" s="16" t="n">
        <f aca="false">$N256*MAX(0,(MIN($G256,DATE(2026,8,31))-MAX($E256,DATE(2026,8,1))+1))/$O256</f>
        <v>10483.2558139535</v>
      </c>
      <c r="S256" s="16" t="n">
        <f aca="false">$N256*MAX(0,(MIN($G256,DATE(2026,9,30))-MAX($E256,DATE(2026,9,1))+1))/$O256</f>
        <v>10006.7441860465</v>
      </c>
      <c r="T256" s="16" t="n">
        <f aca="false">$N256*MAX(0,(MIN($G256,DATE(2026,10,31))-MAX($E256,DATE(2026,10,1))+1))/$O256</f>
        <v>0</v>
      </c>
      <c r="U256" s="16" t="n">
        <f aca="false">$N256*MAX(0,(MIN($G256,DATE(2026,11,30))-MAX($E256,DATE(2026,11,1))+1))/$O256</f>
        <v>0</v>
      </c>
      <c r="V256" s="16" t="n">
        <f aca="false">$N256*MAX(0,(MIN($G256,DATE(2026,12,31))-MAX($E256,DATE(2026,12,1))+1))/$O256</f>
        <v>0</v>
      </c>
      <c r="W256" s="17" t="n">
        <f aca="false">$H256*MAX(0,(MIN($G256,DATE(2026,7,31))-MAX($E256,DATE(2026,7,1))+1))/30.4</f>
        <v>0</v>
      </c>
      <c r="X256" s="17" t="n">
        <f aca="false">$H256*MAX(0,(MIN($G256,DATE(2026,8,31))-MAX($E256,DATE(2026,8,1))+1))/30.4</f>
        <v>0.723684210526316</v>
      </c>
      <c r="Y256" s="17" t="n">
        <f aca="false">$H256*MAX(0,(MIN($G256,DATE(2026,9,30))-MAX($E256,DATE(2026,9,1))+1))/30.4</f>
        <v>0.690789473684211</v>
      </c>
      <c r="Z256" s="17" t="n">
        <f aca="false">$H256*MAX(0,(MIN($G256,DATE(2026,10,31))-MAX($E256,DATE(2026,10,1))+1))/30.4</f>
        <v>0</v>
      </c>
      <c r="AA256" s="17" t="n">
        <f aca="false">$H256*MAX(0,(MIN($G256,DATE(2026,11,30))-MAX($E256,DATE(2026,11,1))+1))/30.4</f>
        <v>0</v>
      </c>
      <c r="AB256" s="17" t="n">
        <f aca="false">$H256*MAX(0,(MIN($G256,DATE(2026,12,31))-MAX($E256,DATE(2026,12,1))+1))/30.4</f>
        <v>0</v>
      </c>
    </row>
    <row r="257" customFormat="false" ht="15" hidden="false" customHeight="false" outlineLevel="0" collapsed="false">
      <c r="A257" s="10" t="n">
        <v>167</v>
      </c>
      <c r="B257" s="10" t="n">
        <v>2</v>
      </c>
      <c r="C257" s="10" t="s">
        <v>165</v>
      </c>
      <c r="D257" s="10" t="s">
        <v>76</v>
      </c>
      <c r="E257" s="12" t="n">
        <v>46244</v>
      </c>
      <c r="F257" s="10" t="n">
        <v>6</v>
      </c>
      <c r="G257" s="12" t="n">
        <v>46286</v>
      </c>
      <c r="H257" s="13" t="n">
        <v>1</v>
      </c>
      <c r="I257" s="10" t="s">
        <v>113</v>
      </c>
      <c r="J257" s="14" t="str">
        <f aca="false">IFERROR(VLOOKUP(D257,Role_Mapping!$A$5:$D$31,2,FALSE()),"UNMAPPED")</f>
        <v>Senior Software Engineer</v>
      </c>
      <c r="K257" s="14" t="str">
        <f aca="false">IFERROR(VLOOKUP(D257,Role_Mapping!$A$5:$D$31,3,FALSE()),"IN")</f>
        <v>IN</v>
      </c>
      <c r="L257" s="15" t="n">
        <f aca="false">IFERROR(SUMPRODUCT((Rate_Card!$A$5:$A$34=J257)*(Rate_Card!$B$5:$B$34=K257)*Rate_Card!$C$5:$C$34),0)</f>
        <v>585</v>
      </c>
      <c r="M257" s="10" t="n">
        <f aca="false">F257*5</f>
        <v>30</v>
      </c>
      <c r="N257" s="16" t="n">
        <f aca="false">L257*M257*H257</f>
        <v>17550</v>
      </c>
      <c r="O257" s="10" t="n">
        <f aca="false">(G257-E257)+1</f>
        <v>43</v>
      </c>
      <c r="P257" s="14" t="str">
        <f aca="false">IFERROR(VLOOKUP(D257,Role_Mapping!$A$5:$D$31,4,FALSE()),"UNMAPPED")</f>
        <v>Full Stack</v>
      </c>
      <c r="Q257" s="16" t="n">
        <f aca="false">$N257*MAX(0,(MIN($G257,DATE(2026,7,31))-MAX($E257,DATE(2026,7,1))+1))/$O257</f>
        <v>0</v>
      </c>
      <c r="R257" s="16" t="n">
        <f aca="false">$N257*MAX(0,(MIN($G257,DATE(2026,8,31))-MAX($E257,DATE(2026,8,1))+1))/$O257</f>
        <v>8979.06976744186</v>
      </c>
      <c r="S257" s="16" t="n">
        <f aca="false">$N257*MAX(0,(MIN($G257,DATE(2026,9,30))-MAX($E257,DATE(2026,9,1))+1))/$O257</f>
        <v>8570.93023255814</v>
      </c>
      <c r="T257" s="16" t="n">
        <f aca="false">$N257*MAX(0,(MIN($G257,DATE(2026,10,31))-MAX($E257,DATE(2026,10,1))+1))/$O257</f>
        <v>0</v>
      </c>
      <c r="U257" s="16" t="n">
        <f aca="false">$N257*MAX(0,(MIN($G257,DATE(2026,11,30))-MAX($E257,DATE(2026,11,1))+1))/$O257</f>
        <v>0</v>
      </c>
      <c r="V257" s="16" t="n">
        <f aca="false">$N257*MAX(0,(MIN($G257,DATE(2026,12,31))-MAX($E257,DATE(2026,12,1))+1))/$O257</f>
        <v>0</v>
      </c>
      <c r="W257" s="17" t="n">
        <f aca="false">$H257*MAX(0,(MIN($G257,DATE(2026,7,31))-MAX($E257,DATE(2026,7,1))+1))/30.4</f>
        <v>0</v>
      </c>
      <c r="X257" s="17" t="n">
        <f aca="false">$H257*MAX(0,(MIN($G257,DATE(2026,8,31))-MAX($E257,DATE(2026,8,1))+1))/30.4</f>
        <v>0.723684210526316</v>
      </c>
      <c r="Y257" s="17" t="n">
        <f aca="false">$H257*MAX(0,(MIN($G257,DATE(2026,9,30))-MAX($E257,DATE(2026,9,1))+1))/30.4</f>
        <v>0.690789473684211</v>
      </c>
      <c r="Z257" s="17" t="n">
        <f aca="false">$H257*MAX(0,(MIN($G257,DATE(2026,10,31))-MAX($E257,DATE(2026,10,1))+1))/30.4</f>
        <v>0</v>
      </c>
      <c r="AA257" s="17" t="n">
        <f aca="false">$H257*MAX(0,(MIN($G257,DATE(2026,11,30))-MAX($E257,DATE(2026,11,1))+1))/30.4</f>
        <v>0</v>
      </c>
      <c r="AB257" s="17" t="n">
        <f aca="false">$H257*MAX(0,(MIN($G257,DATE(2026,12,31))-MAX($E257,DATE(2026,12,1))+1))/30.4</f>
        <v>0</v>
      </c>
    </row>
    <row r="258" customFormat="false" ht="15" hidden="false" customHeight="false" outlineLevel="0" collapsed="false">
      <c r="A258" s="10" t="n">
        <v>167</v>
      </c>
      <c r="B258" s="10" t="n">
        <v>2</v>
      </c>
      <c r="C258" s="10" t="s">
        <v>165</v>
      </c>
      <c r="D258" s="10" t="s">
        <v>76</v>
      </c>
      <c r="E258" s="12" t="n">
        <v>46244</v>
      </c>
      <c r="F258" s="10" t="n">
        <v>6</v>
      </c>
      <c r="G258" s="12" t="n">
        <v>46286</v>
      </c>
      <c r="H258" s="13" t="n">
        <v>1</v>
      </c>
      <c r="I258" s="10" t="s">
        <v>123</v>
      </c>
      <c r="J258" s="14" t="str">
        <f aca="false">IFERROR(VLOOKUP(D258,Role_Mapping!$A$5:$D$31,2,FALSE()),"UNMAPPED")</f>
        <v>Senior Software Engineer</v>
      </c>
      <c r="K258" s="14" t="str">
        <f aca="false">IFERROR(VLOOKUP(D258,Role_Mapping!$A$5:$D$31,3,FALSE()),"IN")</f>
        <v>IN</v>
      </c>
      <c r="L258" s="15" t="n">
        <f aca="false">IFERROR(SUMPRODUCT((Rate_Card!$A$5:$A$34=J258)*(Rate_Card!$B$5:$B$34=K258)*Rate_Card!$C$5:$C$34),0)</f>
        <v>585</v>
      </c>
      <c r="M258" s="10" t="n">
        <f aca="false">F258*5</f>
        <v>30</v>
      </c>
      <c r="N258" s="16" t="n">
        <f aca="false">L258*M258*H258</f>
        <v>17550</v>
      </c>
      <c r="O258" s="10" t="n">
        <f aca="false">(G258-E258)+1</f>
        <v>43</v>
      </c>
      <c r="P258" s="14" t="str">
        <f aca="false">IFERROR(VLOOKUP(D258,Role_Mapping!$A$5:$D$31,4,FALSE()),"UNMAPPED")</f>
        <v>Full Stack</v>
      </c>
      <c r="Q258" s="16" t="n">
        <f aca="false">$N258*MAX(0,(MIN($G258,DATE(2026,7,31))-MAX($E258,DATE(2026,7,1))+1))/$O258</f>
        <v>0</v>
      </c>
      <c r="R258" s="16" t="n">
        <f aca="false">$N258*MAX(0,(MIN($G258,DATE(2026,8,31))-MAX($E258,DATE(2026,8,1))+1))/$O258</f>
        <v>8979.06976744186</v>
      </c>
      <c r="S258" s="16" t="n">
        <f aca="false">$N258*MAX(0,(MIN($G258,DATE(2026,9,30))-MAX($E258,DATE(2026,9,1))+1))/$O258</f>
        <v>8570.93023255814</v>
      </c>
      <c r="T258" s="16" t="n">
        <f aca="false">$N258*MAX(0,(MIN($G258,DATE(2026,10,31))-MAX($E258,DATE(2026,10,1))+1))/$O258</f>
        <v>0</v>
      </c>
      <c r="U258" s="16" t="n">
        <f aca="false">$N258*MAX(0,(MIN($G258,DATE(2026,11,30))-MAX($E258,DATE(2026,11,1))+1))/$O258</f>
        <v>0</v>
      </c>
      <c r="V258" s="16" t="n">
        <f aca="false">$N258*MAX(0,(MIN($G258,DATE(2026,12,31))-MAX($E258,DATE(2026,12,1))+1))/$O258</f>
        <v>0</v>
      </c>
      <c r="W258" s="17" t="n">
        <f aca="false">$H258*MAX(0,(MIN($G258,DATE(2026,7,31))-MAX($E258,DATE(2026,7,1))+1))/30.4</f>
        <v>0</v>
      </c>
      <c r="X258" s="17" t="n">
        <f aca="false">$H258*MAX(0,(MIN($G258,DATE(2026,8,31))-MAX($E258,DATE(2026,8,1))+1))/30.4</f>
        <v>0.723684210526316</v>
      </c>
      <c r="Y258" s="17" t="n">
        <f aca="false">$H258*MAX(0,(MIN($G258,DATE(2026,9,30))-MAX($E258,DATE(2026,9,1))+1))/30.4</f>
        <v>0.690789473684211</v>
      </c>
      <c r="Z258" s="17" t="n">
        <f aca="false">$H258*MAX(0,(MIN($G258,DATE(2026,10,31))-MAX($E258,DATE(2026,10,1))+1))/30.4</f>
        <v>0</v>
      </c>
      <c r="AA258" s="17" t="n">
        <f aca="false">$H258*MAX(0,(MIN($G258,DATE(2026,11,30))-MAX($E258,DATE(2026,11,1))+1))/30.4</f>
        <v>0</v>
      </c>
      <c r="AB258" s="17" t="n">
        <f aca="false">$H258*MAX(0,(MIN($G258,DATE(2026,12,31))-MAX($E258,DATE(2026,12,1))+1))/30.4</f>
        <v>0</v>
      </c>
    </row>
    <row r="259" customFormat="false" ht="15" hidden="false" customHeight="false" outlineLevel="0" collapsed="false">
      <c r="A259" s="10" t="n">
        <v>167</v>
      </c>
      <c r="B259" s="10" t="n">
        <v>2</v>
      </c>
      <c r="C259" s="10" t="s">
        <v>165</v>
      </c>
      <c r="D259" s="10" t="s">
        <v>75</v>
      </c>
      <c r="E259" s="12" t="n">
        <v>46244</v>
      </c>
      <c r="F259" s="10" t="n">
        <v>6</v>
      </c>
      <c r="G259" s="12" t="n">
        <v>46286</v>
      </c>
      <c r="H259" s="13" t="n">
        <v>1</v>
      </c>
      <c r="I259" s="10" t="s">
        <v>113</v>
      </c>
      <c r="J259" s="14" t="str">
        <f aca="false">IFERROR(VLOOKUP(D259,Role_Mapping!$A$5:$D$31,2,FALSE()),"UNMAPPED")</f>
        <v>Software Engineer</v>
      </c>
      <c r="K259" s="14" t="str">
        <f aca="false">IFERROR(VLOOKUP(D259,Role_Mapping!$A$5:$D$31,3,FALSE()),"IN")</f>
        <v>IN</v>
      </c>
      <c r="L259" s="15" t="n">
        <f aca="false">IFERROR(SUMPRODUCT((Rate_Card!$A$5:$A$34=J259)*(Rate_Card!$B$5:$B$34=K259)*Rate_Card!$C$5:$C$34),0)</f>
        <v>455</v>
      </c>
      <c r="M259" s="10" t="n">
        <f aca="false">F259*5</f>
        <v>30</v>
      </c>
      <c r="N259" s="16" t="n">
        <f aca="false">L259*M259*H259</f>
        <v>13650</v>
      </c>
      <c r="O259" s="10" t="n">
        <f aca="false">(G259-E259)+1</f>
        <v>43</v>
      </c>
      <c r="P259" s="14" t="str">
        <f aca="false">IFERROR(VLOOKUP(D259,Role_Mapping!$A$5:$D$31,4,FALSE()),"UNMAPPED")</f>
        <v>Full Stack</v>
      </c>
      <c r="Q259" s="16" t="n">
        <f aca="false">$N259*MAX(0,(MIN($G259,DATE(2026,7,31))-MAX($E259,DATE(2026,7,1))+1))/$O259</f>
        <v>0</v>
      </c>
      <c r="R259" s="16" t="n">
        <f aca="false">$N259*MAX(0,(MIN($G259,DATE(2026,8,31))-MAX($E259,DATE(2026,8,1))+1))/$O259</f>
        <v>6983.72093023256</v>
      </c>
      <c r="S259" s="16" t="n">
        <f aca="false">$N259*MAX(0,(MIN($G259,DATE(2026,9,30))-MAX($E259,DATE(2026,9,1))+1))/$O259</f>
        <v>6666.27906976744</v>
      </c>
      <c r="T259" s="16" t="n">
        <f aca="false">$N259*MAX(0,(MIN($G259,DATE(2026,10,31))-MAX($E259,DATE(2026,10,1))+1))/$O259</f>
        <v>0</v>
      </c>
      <c r="U259" s="16" t="n">
        <f aca="false">$N259*MAX(0,(MIN($G259,DATE(2026,11,30))-MAX($E259,DATE(2026,11,1))+1))/$O259</f>
        <v>0</v>
      </c>
      <c r="V259" s="16" t="n">
        <f aca="false">$N259*MAX(0,(MIN($G259,DATE(2026,12,31))-MAX($E259,DATE(2026,12,1))+1))/$O259</f>
        <v>0</v>
      </c>
      <c r="W259" s="17" t="n">
        <f aca="false">$H259*MAX(0,(MIN($G259,DATE(2026,7,31))-MAX($E259,DATE(2026,7,1))+1))/30.4</f>
        <v>0</v>
      </c>
      <c r="X259" s="17" t="n">
        <f aca="false">$H259*MAX(0,(MIN($G259,DATE(2026,8,31))-MAX($E259,DATE(2026,8,1))+1))/30.4</f>
        <v>0.723684210526316</v>
      </c>
      <c r="Y259" s="17" t="n">
        <f aca="false">$H259*MAX(0,(MIN($G259,DATE(2026,9,30))-MAX($E259,DATE(2026,9,1))+1))/30.4</f>
        <v>0.690789473684211</v>
      </c>
      <c r="Z259" s="17" t="n">
        <f aca="false">$H259*MAX(0,(MIN($G259,DATE(2026,10,31))-MAX($E259,DATE(2026,10,1))+1))/30.4</f>
        <v>0</v>
      </c>
      <c r="AA259" s="17" t="n">
        <f aca="false">$H259*MAX(0,(MIN($G259,DATE(2026,11,30))-MAX($E259,DATE(2026,11,1))+1))/30.4</f>
        <v>0</v>
      </c>
      <c r="AB259" s="17" t="n">
        <f aca="false">$H259*MAX(0,(MIN($G259,DATE(2026,12,31))-MAX($E259,DATE(2026,12,1))+1))/30.4</f>
        <v>0</v>
      </c>
    </row>
    <row r="260" customFormat="false" ht="15" hidden="false" customHeight="false" outlineLevel="0" collapsed="false">
      <c r="A260" s="10" t="n">
        <v>168</v>
      </c>
      <c r="B260" s="10" t="n">
        <v>4</v>
      </c>
      <c r="C260" s="10" t="s">
        <v>166</v>
      </c>
      <c r="D260" s="10" t="s">
        <v>49</v>
      </c>
      <c r="E260" s="12" t="n">
        <v>46244</v>
      </c>
      <c r="F260" s="10" t="n">
        <v>4</v>
      </c>
      <c r="G260" s="12" t="n">
        <v>46272</v>
      </c>
      <c r="H260" s="13" t="n">
        <v>0.125</v>
      </c>
      <c r="I260" s="10" t="s">
        <v>113</v>
      </c>
      <c r="J260" s="14" t="str">
        <f aca="false">IFERROR(VLOOKUP(D260,Role_Mapping!$A$5:$D$31,2,FALSE()),"UNMAPPED")</f>
        <v>Associate Partner</v>
      </c>
      <c r="K260" s="14" t="str">
        <f aca="false">IFERROR(VLOOKUP(D260,Role_Mapping!$A$5:$D$31,3,FALSE()),"IN")</f>
        <v>UK</v>
      </c>
      <c r="L260" s="15" t="n">
        <f aca="false">IFERROR(SUMPRODUCT((Rate_Card!$A$5:$A$34=J260)*(Rate_Card!$B$5:$B$34=K260)*Rate_Card!$C$5:$C$34),0)</f>
        <v>3526</v>
      </c>
      <c r="M260" s="10" t="n">
        <f aca="false">F260*5</f>
        <v>20</v>
      </c>
      <c r="N260" s="16" t="n">
        <f aca="false">L260*M260*H260</f>
        <v>8815</v>
      </c>
      <c r="O260" s="10" t="n">
        <f aca="false">(G260-E260)+1</f>
        <v>29</v>
      </c>
      <c r="P260" s="14" t="str">
        <f aca="false">IFERROR(VLOOKUP(D260,Role_Mapping!$A$5:$D$31,4,FALSE()),"UNMAPPED")</f>
        <v>GTM</v>
      </c>
      <c r="Q260" s="16" t="n">
        <f aca="false">$N260*MAX(0,(MIN($G260,DATE(2026,7,31))-MAX($E260,DATE(2026,7,1))+1))/$O260</f>
        <v>0</v>
      </c>
      <c r="R260" s="16" t="n">
        <f aca="false">$N260*MAX(0,(MIN($G260,DATE(2026,8,31))-MAX($E260,DATE(2026,8,1))+1))/$O260</f>
        <v>6687.24137931035</v>
      </c>
      <c r="S260" s="16" t="n">
        <f aca="false">$N260*MAX(0,(MIN($G260,DATE(2026,9,30))-MAX($E260,DATE(2026,9,1))+1))/$O260</f>
        <v>2127.75862068966</v>
      </c>
      <c r="T260" s="16" t="n">
        <f aca="false">$N260*MAX(0,(MIN($G260,DATE(2026,10,31))-MAX($E260,DATE(2026,10,1))+1))/$O260</f>
        <v>0</v>
      </c>
      <c r="U260" s="16" t="n">
        <f aca="false">$N260*MAX(0,(MIN($G260,DATE(2026,11,30))-MAX($E260,DATE(2026,11,1))+1))/$O260</f>
        <v>0</v>
      </c>
      <c r="V260" s="16" t="n">
        <f aca="false">$N260*MAX(0,(MIN($G260,DATE(2026,12,31))-MAX($E260,DATE(2026,12,1))+1))/$O260</f>
        <v>0</v>
      </c>
      <c r="W260" s="17" t="n">
        <f aca="false">$H260*MAX(0,(MIN($G260,DATE(2026,7,31))-MAX($E260,DATE(2026,7,1))+1))/30.4</f>
        <v>0</v>
      </c>
      <c r="X260" s="17" t="n">
        <f aca="false">$H260*MAX(0,(MIN($G260,DATE(2026,8,31))-MAX($E260,DATE(2026,8,1))+1))/30.4</f>
        <v>0.0904605263157895</v>
      </c>
      <c r="Y260" s="17" t="n">
        <f aca="false">$H260*MAX(0,(MIN($G260,DATE(2026,9,30))-MAX($E260,DATE(2026,9,1))+1))/30.4</f>
        <v>0.0287828947368421</v>
      </c>
      <c r="Z260" s="17" t="n">
        <f aca="false">$H260*MAX(0,(MIN($G260,DATE(2026,10,31))-MAX($E260,DATE(2026,10,1))+1))/30.4</f>
        <v>0</v>
      </c>
      <c r="AA260" s="17" t="n">
        <f aca="false">$H260*MAX(0,(MIN($G260,DATE(2026,11,30))-MAX($E260,DATE(2026,11,1))+1))/30.4</f>
        <v>0</v>
      </c>
      <c r="AB260" s="17" t="n">
        <f aca="false">$H260*MAX(0,(MIN($G260,DATE(2026,12,31))-MAX($E260,DATE(2026,12,1))+1))/30.4</f>
        <v>0</v>
      </c>
    </row>
    <row r="261" customFormat="false" ht="15" hidden="false" customHeight="false" outlineLevel="0" collapsed="false">
      <c r="A261" s="10" t="n">
        <v>168</v>
      </c>
      <c r="B261" s="10" t="n">
        <v>4</v>
      </c>
      <c r="C261" s="10" t="s">
        <v>166</v>
      </c>
      <c r="D261" s="10" t="s">
        <v>62</v>
      </c>
      <c r="E261" s="12" t="n">
        <v>46244</v>
      </c>
      <c r="F261" s="10" t="n">
        <v>4</v>
      </c>
      <c r="G261" s="12" t="n">
        <v>46272</v>
      </c>
      <c r="H261" s="13" t="n">
        <v>0.375</v>
      </c>
      <c r="I261" s="10" t="s">
        <v>113</v>
      </c>
      <c r="J261" s="14" t="str">
        <f aca="false">IFERROR(VLOOKUP(D261,Role_Mapping!$A$5:$D$31,2,FALSE()),"UNMAPPED")</f>
        <v>Associate Partner</v>
      </c>
      <c r="K261" s="14" t="str">
        <f aca="false">IFERROR(VLOOKUP(D261,Role_Mapping!$A$5:$D$31,3,FALSE()),"IN")</f>
        <v>UK</v>
      </c>
      <c r="L261" s="15" t="n">
        <f aca="false">IFERROR(SUMPRODUCT((Rate_Card!$A$5:$A$34=J261)*(Rate_Card!$B$5:$B$34=K261)*Rate_Card!$C$5:$C$34),0)</f>
        <v>3526</v>
      </c>
      <c r="M261" s="10" t="n">
        <f aca="false">F261*5</f>
        <v>20</v>
      </c>
      <c r="N261" s="16" t="n">
        <f aca="false">L261*M261*H261</f>
        <v>26445</v>
      </c>
      <c r="O261" s="10" t="n">
        <f aca="false">(G261-E261)+1</f>
        <v>29</v>
      </c>
      <c r="P261" s="14" t="str">
        <f aca="false">IFERROR(VLOOKUP(D261,Role_Mapping!$A$5:$D$31,4,FALSE()),"UNMAPPED")</f>
        <v>GTM</v>
      </c>
      <c r="Q261" s="16" t="n">
        <f aca="false">$N261*MAX(0,(MIN($G261,DATE(2026,7,31))-MAX($E261,DATE(2026,7,1))+1))/$O261</f>
        <v>0</v>
      </c>
      <c r="R261" s="16" t="n">
        <f aca="false">$N261*MAX(0,(MIN($G261,DATE(2026,8,31))-MAX($E261,DATE(2026,8,1))+1))/$O261</f>
        <v>20061.724137931</v>
      </c>
      <c r="S261" s="16" t="n">
        <f aca="false">$N261*MAX(0,(MIN($G261,DATE(2026,9,30))-MAX($E261,DATE(2026,9,1))+1))/$O261</f>
        <v>6383.27586206897</v>
      </c>
      <c r="T261" s="16" t="n">
        <f aca="false">$N261*MAX(0,(MIN($G261,DATE(2026,10,31))-MAX($E261,DATE(2026,10,1))+1))/$O261</f>
        <v>0</v>
      </c>
      <c r="U261" s="16" t="n">
        <f aca="false">$N261*MAX(0,(MIN($G261,DATE(2026,11,30))-MAX($E261,DATE(2026,11,1))+1))/$O261</f>
        <v>0</v>
      </c>
      <c r="V261" s="16" t="n">
        <f aca="false">$N261*MAX(0,(MIN($G261,DATE(2026,12,31))-MAX($E261,DATE(2026,12,1))+1))/$O261</f>
        <v>0</v>
      </c>
      <c r="W261" s="17" t="n">
        <f aca="false">$H261*MAX(0,(MIN($G261,DATE(2026,7,31))-MAX($E261,DATE(2026,7,1))+1))/30.4</f>
        <v>0</v>
      </c>
      <c r="X261" s="17" t="n">
        <f aca="false">$H261*MAX(0,(MIN($G261,DATE(2026,8,31))-MAX($E261,DATE(2026,8,1))+1))/30.4</f>
        <v>0.271381578947368</v>
      </c>
      <c r="Y261" s="17" t="n">
        <f aca="false">$H261*MAX(0,(MIN($G261,DATE(2026,9,30))-MAX($E261,DATE(2026,9,1))+1))/30.4</f>
        <v>0.0863486842105263</v>
      </c>
      <c r="Z261" s="17" t="n">
        <f aca="false">$H261*MAX(0,(MIN($G261,DATE(2026,10,31))-MAX($E261,DATE(2026,10,1))+1))/30.4</f>
        <v>0</v>
      </c>
      <c r="AA261" s="17" t="n">
        <f aca="false">$H261*MAX(0,(MIN($G261,DATE(2026,11,30))-MAX($E261,DATE(2026,11,1))+1))/30.4</f>
        <v>0</v>
      </c>
      <c r="AB261" s="17" t="n">
        <f aca="false">$H261*MAX(0,(MIN($G261,DATE(2026,12,31))-MAX($E261,DATE(2026,12,1))+1))/30.4</f>
        <v>0</v>
      </c>
    </row>
    <row r="262" customFormat="false" ht="15" hidden="false" customHeight="false" outlineLevel="0" collapsed="false">
      <c r="A262" s="10" t="n">
        <v>168</v>
      </c>
      <c r="B262" s="10" t="n">
        <v>4</v>
      </c>
      <c r="C262" s="10" t="s">
        <v>166</v>
      </c>
      <c r="D262" s="10" t="s">
        <v>53</v>
      </c>
      <c r="E262" s="12" t="n">
        <v>46244</v>
      </c>
      <c r="F262" s="10" t="n">
        <v>4</v>
      </c>
      <c r="G262" s="12" t="n">
        <v>46272</v>
      </c>
      <c r="H262" s="13" t="n">
        <v>0.5</v>
      </c>
      <c r="I262" s="10" t="s">
        <v>113</v>
      </c>
      <c r="J262" s="14" t="str">
        <f aca="false">IFERROR(VLOOKUP(D262,Role_Mapping!$A$5:$D$31,2,FALSE()),"UNMAPPED")</f>
        <v>Consultant</v>
      </c>
      <c r="K262" s="14" t="str">
        <f aca="false">IFERROR(VLOOKUP(D262,Role_Mapping!$A$5:$D$31,3,FALSE()),"IN")</f>
        <v>IN</v>
      </c>
      <c r="L262" s="15" t="n">
        <f aca="false">IFERROR(SUMPRODUCT((Rate_Card!$A$5:$A$34=J262)*(Rate_Card!$B$5:$B$34=K262)*Rate_Card!$C$5:$C$34),0)</f>
        <v>683</v>
      </c>
      <c r="M262" s="10" t="n">
        <f aca="false">F262*5</f>
        <v>20</v>
      </c>
      <c r="N262" s="16" t="n">
        <f aca="false">L262*M262*H262</f>
        <v>6830</v>
      </c>
      <c r="O262" s="10" t="n">
        <f aca="false">(G262-E262)+1</f>
        <v>29</v>
      </c>
      <c r="P262" s="14" t="str">
        <f aca="false">IFERROR(VLOOKUP(D262,Role_Mapping!$A$5:$D$31,4,FALSE()),"UNMAPPED")</f>
        <v>Consulting</v>
      </c>
      <c r="Q262" s="16" t="n">
        <f aca="false">$N262*MAX(0,(MIN($G262,DATE(2026,7,31))-MAX($E262,DATE(2026,7,1))+1))/$O262</f>
        <v>0</v>
      </c>
      <c r="R262" s="16" t="n">
        <f aca="false">$N262*MAX(0,(MIN($G262,DATE(2026,8,31))-MAX($E262,DATE(2026,8,1))+1))/$O262</f>
        <v>5181.37931034483</v>
      </c>
      <c r="S262" s="16" t="n">
        <f aca="false">$N262*MAX(0,(MIN($G262,DATE(2026,9,30))-MAX($E262,DATE(2026,9,1))+1))/$O262</f>
        <v>1648.62068965517</v>
      </c>
      <c r="T262" s="16" t="n">
        <f aca="false">$N262*MAX(0,(MIN($G262,DATE(2026,10,31))-MAX($E262,DATE(2026,10,1))+1))/$O262</f>
        <v>0</v>
      </c>
      <c r="U262" s="16" t="n">
        <f aca="false">$N262*MAX(0,(MIN($G262,DATE(2026,11,30))-MAX($E262,DATE(2026,11,1))+1))/$O262</f>
        <v>0</v>
      </c>
      <c r="V262" s="16" t="n">
        <f aca="false">$N262*MAX(0,(MIN($G262,DATE(2026,12,31))-MAX($E262,DATE(2026,12,1))+1))/$O262</f>
        <v>0</v>
      </c>
      <c r="W262" s="17" t="n">
        <f aca="false">$H262*MAX(0,(MIN($G262,DATE(2026,7,31))-MAX($E262,DATE(2026,7,1))+1))/30.4</f>
        <v>0</v>
      </c>
      <c r="X262" s="17" t="n">
        <f aca="false">$H262*MAX(0,(MIN($G262,DATE(2026,8,31))-MAX($E262,DATE(2026,8,1))+1))/30.4</f>
        <v>0.361842105263158</v>
      </c>
      <c r="Y262" s="17" t="n">
        <f aca="false">$H262*MAX(0,(MIN($G262,DATE(2026,9,30))-MAX($E262,DATE(2026,9,1))+1))/30.4</f>
        <v>0.115131578947368</v>
      </c>
      <c r="Z262" s="17" t="n">
        <f aca="false">$H262*MAX(0,(MIN($G262,DATE(2026,10,31))-MAX($E262,DATE(2026,10,1))+1))/30.4</f>
        <v>0</v>
      </c>
      <c r="AA262" s="17" t="n">
        <f aca="false">$H262*MAX(0,(MIN($G262,DATE(2026,11,30))-MAX($E262,DATE(2026,11,1))+1))/30.4</f>
        <v>0</v>
      </c>
      <c r="AB262" s="17" t="n">
        <f aca="false">$H262*MAX(0,(MIN($G262,DATE(2026,12,31))-MAX($E262,DATE(2026,12,1))+1))/30.4</f>
        <v>0</v>
      </c>
    </row>
    <row r="263" customFormat="false" ht="15" hidden="false" customHeight="false" outlineLevel="0" collapsed="false">
      <c r="A263" s="10" t="n">
        <v>168</v>
      </c>
      <c r="B263" s="10" t="n">
        <v>4</v>
      </c>
      <c r="C263" s="10" t="s">
        <v>166</v>
      </c>
      <c r="D263" s="10" t="s">
        <v>45</v>
      </c>
      <c r="E263" s="12" t="n">
        <v>46244</v>
      </c>
      <c r="F263" s="10" t="n">
        <v>4</v>
      </c>
      <c r="G263" s="12" t="n">
        <v>46272</v>
      </c>
      <c r="H263" s="13" t="n">
        <v>1</v>
      </c>
      <c r="I263" s="10" t="s">
        <v>113</v>
      </c>
      <c r="J263" s="14" t="str">
        <f aca="false">IFERROR(VLOOKUP(D263,Role_Mapping!$A$5:$D$31,2,FALSE()),"UNMAPPED")</f>
        <v>Associate Consultant</v>
      </c>
      <c r="K263" s="14" t="str">
        <f aca="false">IFERROR(VLOOKUP(D263,Role_Mapping!$A$5:$D$31,3,FALSE()),"IN")</f>
        <v>IN</v>
      </c>
      <c r="L263" s="15" t="n">
        <f aca="false">IFERROR(SUMPRODUCT((Rate_Card!$A$5:$A$34=J263)*(Rate_Card!$B$5:$B$34=K263)*Rate_Card!$C$5:$C$34),0)</f>
        <v>585</v>
      </c>
      <c r="M263" s="10" t="n">
        <f aca="false">F263*5</f>
        <v>20</v>
      </c>
      <c r="N263" s="16" t="n">
        <f aca="false">L263*M263*H263</f>
        <v>11700</v>
      </c>
      <c r="O263" s="10" t="n">
        <f aca="false">(G263-E263)+1</f>
        <v>29</v>
      </c>
      <c r="P263" s="14" t="str">
        <f aca="false">IFERROR(VLOOKUP(D263,Role_Mapping!$A$5:$D$31,4,FALSE()),"UNMAPPED")</f>
        <v>Consulting</v>
      </c>
      <c r="Q263" s="16" t="n">
        <f aca="false">$N263*MAX(0,(MIN($G263,DATE(2026,7,31))-MAX($E263,DATE(2026,7,1))+1))/$O263</f>
        <v>0</v>
      </c>
      <c r="R263" s="16" t="n">
        <f aca="false">$N263*MAX(0,(MIN($G263,DATE(2026,8,31))-MAX($E263,DATE(2026,8,1))+1))/$O263</f>
        <v>8875.86206896552</v>
      </c>
      <c r="S263" s="16" t="n">
        <f aca="false">$N263*MAX(0,(MIN($G263,DATE(2026,9,30))-MAX($E263,DATE(2026,9,1))+1))/$O263</f>
        <v>2824.13793103448</v>
      </c>
      <c r="T263" s="16" t="n">
        <f aca="false">$N263*MAX(0,(MIN($G263,DATE(2026,10,31))-MAX($E263,DATE(2026,10,1))+1))/$O263</f>
        <v>0</v>
      </c>
      <c r="U263" s="16" t="n">
        <f aca="false">$N263*MAX(0,(MIN($G263,DATE(2026,11,30))-MAX($E263,DATE(2026,11,1))+1))/$O263</f>
        <v>0</v>
      </c>
      <c r="V263" s="16" t="n">
        <f aca="false">$N263*MAX(0,(MIN($G263,DATE(2026,12,31))-MAX($E263,DATE(2026,12,1))+1))/$O263</f>
        <v>0</v>
      </c>
      <c r="W263" s="17" t="n">
        <f aca="false">$H263*MAX(0,(MIN($G263,DATE(2026,7,31))-MAX($E263,DATE(2026,7,1))+1))/30.4</f>
        <v>0</v>
      </c>
      <c r="X263" s="17" t="n">
        <f aca="false">$H263*MAX(0,(MIN($G263,DATE(2026,8,31))-MAX($E263,DATE(2026,8,1))+1))/30.4</f>
        <v>0.723684210526316</v>
      </c>
      <c r="Y263" s="17" t="n">
        <f aca="false">$H263*MAX(0,(MIN($G263,DATE(2026,9,30))-MAX($E263,DATE(2026,9,1))+1))/30.4</f>
        <v>0.230263157894737</v>
      </c>
      <c r="Z263" s="17" t="n">
        <f aca="false">$H263*MAX(0,(MIN($G263,DATE(2026,10,31))-MAX($E263,DATE(2026,10,1))+1))/30.4</f>
        <v>0</v>
      </c>
      <c r="AA263" s="17" t="n">
        <f aca="false">$H263*MAX(0,(MIN($G263,DATE(2026,11,30))-MAX($E263,DATE(2026,11,1))+1))/30.4</f>
        <v>0</v>
      </c>
      <c r="AB263" s="17" t="n">
        <f aca="false">$H263*MAX(0,(MIN($G263,DATE(2026,12,31))-MAX($E263,DATE(2026,12,1))+1))/30.4</f>
        <v>0</v>
      </c>
    </row>
    <row r="264" customFormat="false" ht="15" hidden="false" customHeight="false" outlineLevel="0" collapsed="false">
      <c r="A264" s="10" t="n">
        <v>168</v>
      </c>
      <c r="B264" s="10" t="n">
        <v>4</v>
      </c>
      <c r="C264" s="10" t="s">
        <v>166</v>
      </c>
      <c r="D264" s="10" t="s">
        <v>64</v>
      </c>
      <c r="E264" s="12" t="n">
        <v>46244</v>
      </c>
      <c r="F264" s="10" t="n">
        <v>4</v>
      </c>
      <c r="G264" s="12" t="n">
        <v>46272</v>
      </c>
      <c r="H264" s="13" t="n">
        <v>0.375</v>
      </c>
      <c r="I264" s="10" t="s">
        <v>113</v>
      </c>
      <c r="J264" s="14" t="str">
        <f aca="false">IFERROR(VLOOKUP(D264,Role_Mapping!$A$5:$D$31,2,FALSE()),"UNMAPPED")</f>
        <v>Principal Technology Architect</v>
      </c>
      <c r="K264" s="14" t="str">
        <f aca="false">IFERROR(VLOOKUP(D264,Role_Mapping!$A$5:$D$31,3,FALSE()),"IN")</f>
        <v>IN</v>
      </c>
      <c r="L264" s="15" t="n">
        <f aca="false">IFERROR(SUMPRODUCT((Rate_Card!$A$5:$A$34=J264)*(Rate_Card!$B$5:$B$34=K264)*Rate_Card!$C$5:$C$34),0)</f>
        <v>845</v>
      </c>
      <c r="M264" s="10" t="n">
        <f aca="false">F264*5</f>
        <v>20</v>
      </c>
      <c r="N264" s="16" t="n">
        <f aca="false">L264*M264*H264</f>
        <v>6337.5</v>
      </c>
      <c r="O264" s="10" t="n">
        <f aca="false">(G264-E264)+1</f>
        <v>29</v>
      </c>
      <c r="P264" s="14" t="str">
        <f aca="false">IFERROR(VLOOKUP(D264,Role_Mapping!$A$5:$D$31,4,FALSE()),"UNMAPPED")</f>
        <v>Full Stack</v>
      </c>
      <c r="Q264" s="16" t="n">
        <f aca="false">$N264*MAX(0,(MIN($G264,DATE(2026,7,31))-MAX($E264,DATE(2026,7,1))+1))/$O264</f>
        <v>0</v>
      </c>
      <c r="R264" s="16" t="n">
        <f aca="false">$N264*MAX(0,(MIN($G264,DATE(2026,8,31))-MAX($E264,DATE(2026,8,1))+1))/$O264</f>
        <v>4807.75862068966</v>
      </c>
      <c r="S264" s="16" t="n">
        <f aca="false">$N264*MAX(0,(MIN($G264,DATE(2026,9,30))-MAX($E264,DATE(2026,9,1))+1))/$O264</f>
        <v>1529.74137931034</v>
      </c>
      <c r="T264" s="16" t="n">
        <f aca="false">$N264*MAX(0,(MIN($G264,DATE(2026,10,31))-MAX($E264,DATE(2026,10,1))+1))/$O264</f>
        <v>0</v>
      </c>
      <c r="U264" s="16" t="n">
        <f aca="false">$N264*MAX(0,(MIN($G264,DATE(2026,11,30))-MAX($E264,DATE(2026,11,1))+1))/$O264</f>
        <v>0</v>
      </c>
      <c r="V264" s="16" t="n">
        <f aca="false">$N264*MAX(0,(MIN($G264,DATE(2026,12,31))-MAX($E264,DATE(2026,12,1))+1))/$O264</f>
        <v>0</v>
      </c>
      <c r="W264" s="17" t="n">
        <f aca="false">$H264*MAX(0,(MIN($G264,DATE(2026,7,31))-MAX($E264,DATE(2026,7,1))+1))/30.4</f>
        <v>0</v>
      </c>
      <c r="X264" s="17" t="n">
        <f aca="false">$H264*MAX(0,(MIN($G264,DATE(2026,8,31))-MAX($E264,DATE(2026,8,1))+1))/30.4</f>
        <v>0.271381578947368</v>
      </c>
      <c r="Y264" s="17" t="n">
        <f aca="false">$H264*MAX(0,(MIN($G264,DATE(2026,9,30))-MAX($E264,DATE(2026,9,1))+1))/30.4</f>
        <v>0.0863486842105263</v>
      </c>
      <c r="Z264" s="17" t="n">
        <f aca="false">$H264*MAX(0,(MIN($G264,DATE(2026,10,31))-MAX($E264,DATE(2026,10,1))+1))/30.4</f>
        <v>0</v>
      </c>
      <c r="AA264" s="17" t="n">
        <f aca="false">$H264*MAX(0,(MIN($G264,DATE(2026,11,30))-MAX($E264,DATE(2026,11,1))+1))/30.4</f>
        <v>0</v>
      </c>
      <c r="AB264" s="17" t="n">
        <f aca="false">$H264*MAX(0,(MIN($G264,DATE(2026,12,31))-MAX($E264,DATE(2026,12,1))+1))/30.4</f>
        <v>0</v>
      </c>
    </row>
    <row r="265" customFormat="false" ht="15" hidden="false" customHeight="false" outlineLevel="0" collapsed="false">
      <c r="A265" s="10" t="n">
        <v>168</v>
      </c>
      <c r="B265" s="10" t="n">
        <v>4</v>
      </c>
      <c r="C265" s="10" t="s">
        <v>166</v>
      </c>
      <c r="D265" s="10" t="s">
        <v>75</v>
      </c>
      <c r="E265" s="12" t="n">
        <v>46244</v>
      </c>
      <c r="F265" s="10" t="n">
        <v>4</v>
      </c>
      <c r="G265" s="12" t="n">
        <v>46272</v>
      </c>
      <c r="H265" s="13" t="n">
        <v>1</v>
      </c>
      <c r="I265" s="10" t="s">
        <v>113</v>
      </c>
      <c r="J265" s="14" t="str">
        <f aca="false">IFERROR(VLOOKUP(D265,Role_Mapping!$A$5:$D$31,2,FALSE()),"UNMAPPED")</f>
        <v>Software Engineer</v>
      </c>
      <c r="K265" s="14" t="str">
        <f aca="false">IFERROR(VLOOKUP(D265,Role_Mapping!$A$5:$D$31,3,FALSE()),"IN")</f>
        <v>IN</v>
      </c>
      <c r="L265" s="15" t="n">
        <f aca="false">IFERROR(SUMPRODUCT((Rate_Card!$A$5:$A$34=J265)*(Rate_Card!$B$5:$B$34=K265)*Rate_Card!$C$5:$C$34),0)</f>
        <v>455</v>
      </c>
      <c r="M265" s="10" t="n">
        <f aca="false">F265*5</f>
        <v>20</v>
      </c>
      <c r="N265" s="16" t="n">
        <f aca="false">L265*M265*H265</f>
        <v>9100</v>
      </c>
      <c r="O265" s="10" t="n">
        <f aca="false">(G265-E265)+1</f>
        <v>29</v>
      </c>
      <c r="P265" s="14" t="str">
        <f aca="false">IFERROR(VLOOKUP(D265,Role_Mapping!$A$5:$D$31,4,FALSE()),"UNMAPPED")</f>
        <v>Full Stack</v>
      </c>
      <c r="Q265" s="16" t="n">
        <f aca="false">$N265*MAX(0,(MIN($G265,DATE(2026,7,31))-MAX($E265,DATE(2026,7,1))+1))/$O265</f>
        <v>0</v>
      </c>
      <c r="R265" s="16" t="n">
        <f aca="false">$N265*MAX(0,(MIN($G265,DATE(2026,8,31))-MAX($E265,DATE(2026,8,1))+1))/$O265</f>
        <v>6903.44827586207</v>
      </c>
      <c r="S265" s="16" t="n">
        <f aca="false">$N265*MAX(0,(MIN($G265,DATE(2026,9,30))-MAX($E265,DATE(2026,9,1))+1))/$O265</f>
        <v>2196.55172413793</v>
      </c>
      <c r="T265" s="16" t="n">
        <f aca="false">$N265*MAX(0,(MIN($G265,DATE(2026,10,31))-MAX($E265,DATE(2026,10,1))+1))/$O265</f>
        <v>0</v>
      </c>
      <c r="U265" s="16" t="n">
        <f aca="false">$N265*MAX(0,(MIN($G265,DATE(2026,11,30))-MAX($E265,DATE(2026,11,1))+1))/$O265</f>
        <v>0</v>
      </c>
      <c r="V265" s="16" t="n">
        <f aca="false">$N265*MAX(0,(MIN($G265,DATE(2026,12,31))-MAX($E265,DATE(2026,12,1))+1))/$O265</f>
        <v>0</v>
      </c>
      <c r="W265" s="17" t="n">
        <f aca="false">$H265*MAX(0,(MIN($G265,DATE(2026,7,31))-MAX($E265,DATE(2026,7,1))+1))/30.4</f>
        <v>0</v>
      </c>
      <c r="X265" s="17" t="n">
        <f aca="false">$H265*MAX(0,(MIN($G265,DATE(2026,8,31))-MAX($E265,DATE(2026,8,1))+1))/30.4</f>
        <v>0.723684210526316</v>
      </c>
      <c r="Y265" s="17" t="n">
        <f aca="false">$H265*MAX(0,(MIN($G265,DATE(2026,9,30))-MAX($E265,DATE(2026,9,1))+1))/30.4</f>
        <v>0.230263157894737</v>
      </c>
      <c r="Z265" s="17" t="n">
        <f aca="false">$H265*MAX(0,(MIN($G265,DATE(2026,10,31))-MAX($E265,DATE(2026,10,1))+1))/30.4</f>
        <v>0</v>
      </c>
      <c r="AA265" s="17" t="n">
        <f aca="false">$H265*MAX(0,(MIN($G265,DATE(2026,11,30))-MAX($E265,DATE(2026,11,1))+1))/30.4</f>
        <v>0</v>
      </c>
      <c r="AB265" s="17" t="n">
        <f aca="false">$H265*MAX(0,(MIN($G265,DATE(2026,12,31))-MAX($E265,DATE(2026,12,1))+1))/30.4</f>
        <v>0</v>
      </c>
    </row>
    <row r="266" customFormat="false" ht="15" hidden="false" customHeight="false" outlineLevel="0" collapsed="false">
      <c r="A266" s="10" t="n">
        <v>169</v>
      </c>
      <c r="B266" s="10" t="n">
        <v>5</v>
      </c>
      <c r="C266" s="10" t="s">
        <v>167</v>
      </c>
      <c r="D266" s="10" t="s">
        <v>62</v>
      </c>
      <c r="E266" s="12" t="n">
        <v>46251</v>
      </c>
      <c r="F266" s="10" t="n">
        <v>8</v>
      </c>
      <c r="G266" s="12" t="n">
        <v>46307</v>
      </c>
      <c r="H266" s="13" t="n">
        <v>0.125</v>
      </c>
      <c r="I266" s="10" t="s">
        <v>126</v>
      </c>
      <c r="J266" s="14" t="str">
        <f aca="false">IFERROR(VLOOKUP(D266,Role_Mapping!$A$5:$D$31,2,FALSE()),"UNMAPPED")</f>
        <v>Associate Partner</v>
      </c>
      <c r="K266" s="14" t="str">
        <f aca="false">IFERROR(VLOOKUP(D266,Role_Mapping!$A$5:$D$31,3,FALSE()),"IN")</f>
        <v>UK</v>
      </c>
      <c r="L266" s="15" t="n">
        <f aca="false">IFERROR(SUMPRODUCT((Rate_Card!$A$5:$A$34=J266)*(Rate_Card!$B$5:$B$34=K266)*Rate_Card!$C$5:$C$34),0)</f>
        <v>3526</v>
      </c>
      <c r="M266" s="10" t="n">
        <f aca="false">F266*5</f>
        <v>40</v>
      </c>
      <c r="N266" s="16" t="n">
        <f aca="false">L266*M266*H266</f>
        <v>17630</v>
      </c>
      <c r="O266" s="10" t="n">
        <f aca="false">(G266-E266)+1</f>
        <v>57</v>
      </c>
      <c r="P266" s="14" t="str">
        <f aca="false">IFERROR(VLOOKUP(D266,Role_Mapping!$A$5:$D$31,4,FALSE()),"UNMAPPED")</f>
        <v>GTM</v>
      </c>
      <c r="Q266" s="16" t="n">
        <f aca="false">$N266*MAX(0,(MIN($G266,DATE(2026,7,31))-MAX($E266,DATE(2026,7,1))+1))/$O266</f>
        <v>0</v>
      </c>
      <c r="R266" s="16" t="n">
        <f aca="false">$N266*MAX(0,(MIN($G266,DATE(2026,8,31))-MAX($E266,DATE(2026,8,1))+1))/$O266</f>
        <v>4639.47368421053</v>
      </c>
      <c r="S266" s="16" t="n">
        <f aca="false">$N266*MAX(0,(MIN($G266,DATE(2026,9,30))-MAX($E266,DATE(2026,9,1))+1))/$O266</f>
        <v>9278.94736842105</v>
      </c>
      <c r="T266" s="16" t="n">
        <f aca="false">$N266*MAX(0,(MIN($G266,DATE(2026,10,31))-MAX($E266,DATE(2026,10,1))+1))/$O266</f>
        <v>3711.57894736842</v>
      </c>
      <c r="U266" s="16" t="n">
        <f aca="false">$N266*MAX(0,(MIN($G266,DATE(2026,11,30))-MAX($E266,DATE(2026,11,1))+1))/$O266</f>
        <v>0</v>
      </c>
      <c r="V266" s="16" t="n">
        <f aca="false">$N266*MAX(0,(MIN($G266,DATE(2026,12,31))-MAX($E266,DATE(2026,12,1))+1))/$O266</f>
        <v>0</v>
      </c>
      <c r="W266" s="17" t="n">
        <f aca="false">$H266*MAX(0,(MIN($G266,DATE(2026,7,31))-MAX($E266,DATE(2026,7,1))+1))/30.4</f>
        <v>0</v>
      </c>
      <c r="X266" s="17" t="n">
        <f aca="false">$H266*MAX(0,(MIN($G266,DATE(2026,8,31))-MAX($E266,DATE(2026,8,1))+1))/30.4</f>
        <v>0.0616776315789474</v>
      </c>
      <c r="Y266" s="17" t="n">
        <f aca="false">$H266*MAX(0,(MIN($G266,DATE(2026,9,30))-MAX($E266,DATE(2026,9,1))+1))/30.4</f>
        <v>0.123355263157895</v>
      </c>
      <c r="Z266" s="17" t="n">
        <f aca="false">$H266*MAX(0,(MIN($G266,DATE(2026,10,31))-MAX($E266,DATE(2026,10,1))+1))/30.4</f>
        <v>0.0493421052631579</v>
      </c>
      <c r="AA266" s="17" t="n">
        <f aca="false">$H266*MAX(0,(MIN($G266,DATE(2026,11,30))-MAX($E266,DATE(2026,11,1))+1))/30.4</f>
        <v>0</v>
      </c>
      <c r="AB266" s="17" t="n">
        <f aca="false">$H266*MAX(0,(MIN($G266,DATE(2026,12,31))-MAX($E266,DATE(2026,12,1))+1))/30.4</f>
        <v>0</v>
      </c>
    </row>
    <row r="267" customFormat="false" ht="15" hidden="false" customHeight="false" outlineLevel="0" collapsed="false">
      <c r="A267" s="10" t="n">
        <v>170</v>
      </c>
      <c r="B267" s="10" t="n">
        <v>5</v>
      </c>
      <c r="C267" s="10"/>
      <c r="D267" s="10" t="s">
        <v>64</v>
      </c>
      <c r="E267" s="12" t="n">
        <v>46251</v>
      </c>
      <c r="F267" s="10" t="n">
        <v>5</v>
      </c>
      <c r="G267" s="12" t="n">
        <v>46286</v>
      </c>
      <c r="H267" s="13" t="n">
        <v>0.125</v>
      </c>
      <c r="I267" s="10" t="s">
        <v>126</v>
      </c>
      <c r="J267" s="14" t="str">
        <f aca="false">IFERROR(VLOOKUP(D267,Role_Mapping!$A$5:$D$31,2,FALSE()),"UNMAPPED")</f>
        <v>Principal Technology Architect</v>
      </c>
      <c r="K267" s="14" t="str">
        <f aca="false">IFERROR(VLOOKUP(D267,Role_Mapping!$A$5:$D$31,3,FALSE()),"IN")</f>
        <v>IN</v>
      </c>
      <c r="L267" s="15" t="n">
        <f aca="false">IFERROR(SUMPRODUCT((Rate_Card!$A$5:$A$34=J267)*(Rate_Card!$B$5:$B$34=K267)*Rate_Card!$C$5:$C$34),0)</f>
        <v>845</v>
      </c>
      <c r="M267" s="10" t="n">
        <f aca="false">F267*5</f>
        <v>25</v>
      </c>
      <c r="N267" s="16" t="n">
        <f aca="false">L267*M267*H267</f>
        <v>2640.625</v>
      </c>
      <c r="O267" s="10" t="n">
        <f aca="false">(G267-E267)+1</f>
        <v>36</v>
      </c>
      <c r="P267" s="14" t="str">
        <f aca="false">IFERROR(VLOOKUP(D267,Role_Mapping!$A$5:$D$31,4,FALSE()),"UNMAPPED")</f>
        <v>Full Stack</v>
      </c>
      <c r="Q267" s="16" t="n">
        <f aca="false">$N267*MAX(0,(MIN($G267,DATE(2026,7,31))-MAX($E267,DATE(2026,7,1))+1))/$O267</f>
        <v>0</v>
      </c>
      <c r="R267" s="16" t="n">
        <f aca="false">$N267*MAX(0,(MIN($G267,DATE(2026,8,31))-MAX($E267,DATE(2026,8,1))+1))/$O267</f>
        <v>1100.26041666667</v>
      </c>
      <c r="S267" s="16" t="n">
        <f aca="false">$N267*MAX(0,(MIN($G267,DATE(2026,9,30))-MAX($E267,DATE(2026,9,1))+1))/$O267</f>
        <v>1540.36458333333</v>
      </c>
      <c r="T267" s="16" t="n">
        <f aca="false">$N267*MAX(0,(MIN($G267,DATE(2026,10,31))-MAX($E267,DATE(2026,10,1))+1))/$O267</f>
        <v>0</v>
      </c>
      <c r="U267" s="16" t="n">
        <f aca="false">$N267*MAX(0,(MIN($G267,DATE(2026,11,30))-MAX($E267,DATE(2026,11,1))+1))/$O267</f>
        <v>0</v>
      </c>
      <c r="V267" s="16" t="n">
        <f aca="false">$N267*MAX(0,(MIN($G267,DATE(2026,12,31))-MAX($E267,DATE(2026,12,1))+1))/$O267</f>
        <v>0</v>
      </c>
      <c r="W267" s="17" t="n">
        <f aca="false">$H267*MAX(0,(MIN($G267,DATE(2026,7,31))-MAX($E267,DATE(2026,7,1))+1))/30.4</f>
        <v>0</v>
      </c>
      <c r="X267" s="17" t="n">
        <f aca="false">$H267*MAX(0,(MIN($G267,DATE(2026,8,31))-MAX($E267,DATE(2026,8,1))+1))/30.4</f>
        <v>0.0616776315789474</v>
      </c>
      <c r="Y267" s="17" t="n">
        <f aca="false">$H267*MAX(0,(MIN($G267,DATE(2026,9,30))-MAX($E267,DATE(2026,9,1))+1))/30.4</f>
        <v>0.0863486842105263</v>
      </c>
      <c r="Z267" s="17" t="n">
        <f aca="false">$H267*MAX(0,(MIN($G267,DATE(2026,10,31))-MAX($E267,DATE(2026,10,1))+1))/30.4</f>
        <v>0</v>
      </c>
      <c r="AA267" s="17" t="n">
        <f aca="false">$H267*MAX(0,(MIN($G267,DATE(2026,11,30))-MAX($E267,DATE(2026,11,1))+1))/30.4</f>
        <v>0</v>
      </c>
      <c r="AB267" s="17" t="n">
        <f aca="false">$H267*MAX(0,(MIN($G267,DATE(2026,12,31))-MAX($E267,DATE(2026,12,1))+1))/30.4</f>
        <v>0</v>
      </c>
    </row>
    <row r="268" customFormat="false" ht="15" hidden="false" customHeight="false" outlineLevel="0" collapsed="false">
      <c r="A268" s="10" t="n">
        <v>171</v>
      </c>
      <c r="B268" s="10" t="n">
        <v>5</v>
      </c>
      <c r="C268" s="10"/>
      <c r="D268" s="10" t="s">
        <v>72</v>
      </c>
      <c r="E268" s="12" t="n">
        <v>46251</v>
      </c>
      <c r="F268" s="10" t="n">
        <v>5</v>
      </c>
      <c r="G268" s="12" t="n">
        <v>46286</v>
      </c>
      <c r="H268" s="13" t="n">
        <v>0.5</v>
      </c>
      <c r="I268" s="10" t="s">
        <v>113</v>
      </c>
      <c r="J268" s="14" t="str">
        <f aca="false">IFERROR(VLOOKUP(D268,Role_Mapping!$A$5:$D$31,2,FALSE()),"UNMAPPED")</f>
        <v>Senior Consultant</v>
      </c>
      <c r="K268" s="14" t="str">
        <f aca="false">IFERROR(VLOOKUP(D268,Role_Mapping!$A$5:$D$31,3,FALSE()),"IN")</f>
        <v>UK</v>
      </c>
      <c r="L268" s="15" t="n">
        <f aca="false">IFERROR(SUMPRODUCT((Rate_Card!$A$5:$A$34=J268)*(Rate_Card!$B$5:$B$34=K268)*Rate_Card!$C$5:$C$34),0)</f>
        <v>2798</v>
      </c>
      <c r="M268" s="10" t="n">
        <f aca="false">F268*5</f>
        <v>25</v>
      </c>
      <c r="N268" s="16" t="n">
        <f aca="false">L268*M268*H268</f>
        <v>34975</v>
      </c>
      <c r="O268" s="10" t="n">
        <f aca="false">(G268-E268)+1</f>
        <v>36</v>
      </c>
      <c r="P268" s="14" t="str">
        <f aca="false">IFERROR(VLOOKUP(D268,Role_Mapping!$A$5:$D$31,4,FALSE()),"UNMAPPED")</f>
        <v>Consulting</v>
      </c>
      <c r="Q268" s="16" t="n">
        <f aca="false">$N268*MAX(0,(MIN($G268,DATE(2026,7,31))-MAX($E268,DATE(2026,7,1))+1))/$O268</f>
        <v>0</v>
      </c>
      <c r="R268" s="16" t="n">
        <f aca="false">$N268*MAX(0,(MIN($G268,DATE(2026,8,31))-MAX($E268,DATE(2026,8,1))+1))/$O268</f>
        <v>14572.9166666667</v>
      </c>
      <c r="S268" s="16" t="n">
        <f aca="false">$N268*MAX(0,(MIN($G268,DATE(2026,9,30))-MAX($E268,DATE(2026,9,1))+1))/$O268</f>
        <v>20402.0833333333</v>
      </c>
      <c r="T268" s="16" t="n">
        <f aca="false">$N268*MAX(0,(MIN($G268,DATE(2026,10,31))-MAX($E268,DATE(2026,10,1))+1))/$O268</f>
        <v>0</v>
      </c>
      <c r="U268" s="16" t="n">
        <f aca="false">$N268*MAX(0,(MIN($G268,DATE(2026,11,30))-MAX($E268,DATE(2026,11,1))+1))/$O268</f>
        <v>0</v>
      </c>
      <c r="V268" s="16" t="n">
        <f aca="false">$N268*MAX(0,(MIN($G268,DATE(2026,12,31))-MAX($E268,DATE(2026,12,1))+1))/$O268</f>
        <v>0</v>
      </c>
      <c r="W268" s="17" t="n">
        <f aca="false">$H268*MAX(0,(MIN($G268,DATE(2026,7,31))-MAX($E268,DATE(2026,7,1))+1))/30.4</f>
        <v>0</v>
      </c>
      <c r="X268" s="17" t="n">
        <f aca="false">$H268*MAX(0,(MIN($G268,DATE(2026,8,31))-MAX($E268,DATE(2026,8,1))+1))/30.4</f>
        <v>0.24671052631579</v>
      </c>
      <c r="Y268" s="17" t="n">
        <f aca="false">$H268*MAX(0,(MIN($G268,DATE(2026,9,30))-MAX($E268,DATE(2026,9,1))+1))/30.4</f>
        <v>0.345394736842105</v>
      </c>
      <c r="Z268" s="17" t="n">
        <f aca="false">$H268*MAX(0,(MIN($G268,DATE(2026,10,31))-MAX($E268,DATE(2026,10,1))+1))/30.4</f>
        <v>0</v>
      </c>
      <c r="AA268" s="17" t="n">
        <f aca="false">$H268*MAX(0,(MIN($G268,DATE(2026,11,30))-MAX($E268,DATE(2026,11,1))+1))/30.4</f>
        <v>0</v>
      </c>
      <c r="AB268" s="17" t="n">
        <f aca="false">$H268*MAX(0,(MIN($G268,DATE(2026,12,31))-MAX($E268,DATE(2026,12,1))+1))/30.4</f>
        <v>0</v>
      </c>
    </row>
    <row r="269" customFormat="false" ht="15" hidden="false" customHeight="false" outlineLevel="0" collapsed="false">
      <c r="A269" s="10" t="n">
        <v>172</v>
      </c>
      <c r="B269" s="10" t="n">
        <v>5</v>
      </c>
      <c r="C269" s="10"/>
      <c r="D269" s="10" t="s">
        <v>67</v>
      </c>
      <c r="E269" s="12" t="n">
        <v>46251</v>
      </c>
      <c r="F269" s="10" t="n">
        <v>5</v>
      </c>
      <c r="G269" s="12" t="n">
        <v>46286</v>
      </c>
      <c r="H269" s="13" t="n">
        <v>1</v>
      </c>
      <c r="I269" s="10" t="s">
        <v>113</v>
      </c>
      <c r="J269" s="14" t="str">
        <f aca="false">IFERROR(VLOOKUP(D269,Role_Mapping!$A$5:$D$31,2,FALSE()),"UNMAPPED")</f>
        <v>Senior Associate Consultant</v>
      </c>
      <c r="K269" s="14" t="str">
        <f aca="false">IFERROR(VLOOKUP(D269,Role_Mapping!$A$5:$D$31,3,FALSE()),"IN")</f>
        <v>IN</v>
      </c>
      <c r="L269" s="15" t="n">
        <f aca="false">IFERROR(SUMPRODUCT((Rate_Card!$A$5:$A$34=J269)*(Rate_Card!$B$5:$B$34=K269)*Rate_Card!$C$5:$C$34),0)</f>
        <v>683</v>
      </c>
      <c r="M269" s="10" t="n">
        <f aca="false">F269*5</f>
        <v>25</v>
      </c>
      <c r="N269" s="16" t="n">
        <f aca="false">L269*M269*H269</f>
        <v>17075</v>
      </c>
      <c r="O269" s="10" t="n">
        <f aca="false">(G269-E269)+1</f>
        <v>36</v>
      </c>
      <c r="P269" s="14" t="str">
        <f aca="false">IFERROR(VLOOKUP(D269,Role_Mapping!$A$5:$D$31,4,FALSE()),"UNMAPPED")</f>
        <v>Consulting</v>
      </c>
      <c r="Q269" s="16" t="n">
        <f aca="false">$N269*MAX(0,(MIN($G269,DATE(2026,7,31))-MAX($E269,DATE(2026,7,1))+1))/$O269</f>
        <v>0</v>
      </c>
      <c r="R269" s="16" t="n">
        <f aca="false">$N269*MAX(0,(MIN($G269,DATE(2026,8,31))-MAX($E269,DATE(2026,8,1))+1))/$O269</f>
        <v>7114.58333333333</v>
      </c>
      <c r="S269" s="16" t="n">
        <f aca="false">$N269*MAX(0,(MIN($G269,DATE(2026,9,30))-MAX($E269,DATE(2026,9,1))+1))/$O269</f>
        <v>9960.41666666667</v>
      </c>
      <c r="T269" s="16" t="n">
        <f aca="false">$N269*MAX(0,(MIN($G269,DATE(2026,10,31))-MAX($E269,DATE(2026,10,1))+1))/$O269</f>
        <v>0</v>
      </c>
      <c r="U269" s="16" t="n">
        <f aca="false">$N269*MAX(0,(MIN($G269,DATE(2026,11,30))-MAX($E269,DATE(2026,11,1))+1))/$O269</f>
        <v>0</v>
      </c>
      <c r="V269" s="16" t="n">
        <f aca="false">$N269*MAX(0,(MIN($G269,DATE(2026,12,31))-MAX($E269,DATE(2026,12,1))+1))/$O269</f>
        <v>0</v>
      </c>
      <c r="W269" s="17" t="n">
        <f aca="false">$H269*MAX(0,(MIN($G269,DATE(2026,7,31))-MAX($E269,DATE(2026,7,1))+1))/30.4</f>
        <v>0</v>
      </c>
      <c r="X269" s="17" t="n">
        <f aca="false">$H269*MAX(0,(MIN($G269,DATE(2026,8,31))-MAX($E269,DATE(2026,8,1))+1))/30.4</f>
        <v>0.493421052631579</v>
      </c>
      <c r="Y269" s="17" t="n">
        <f aca="false">$H269*MAX(0,(MIN($G269,DATE(2026,9,30))-MAX($E269,DATE(2026,9,1))+1))/30.4</f>
        <v>0.690789473684211</v>
      </c>
      <c r="Z269" s="17" t="n">
        <f aca="false">$H269*MAX(0,(MIN($G269,DATE(2026,10,31))-MAX($E269,DATE(2026,10,1))+1))/30.4</f>
        <v>0</v>
      </c>
      <c r="AA269" s="17" t="n">
        <f aca="false">$H269*MAX(0,(MIN($G269,DATE(2026,11,30))-MAX($E269,DATE(2026,11,1))+1))/30.4</f>
        <v>0</v>
      </c>
      <c r="AB269" s="17" t="n">
        <f aca="false">$H269*MAX(0,(MIN($G269,DATE(2026,12,31))-MAX($E269,DATE(2026,12,1))+1))/30.4</f>
        <v>0</v>
      </c>
    </row>
    <row r="270" customFormat="false" ht="15" hidden="false" customHeight="false" outlineLevel="0" collapsed="false">
      <c r="A270" s="10" t="n">
        <v>173</v>
      </c>
      <c r="B270" s="10" t="n">
        <v>5</v>
      </c>
      <c r="C270" s="10"/>
      <c r="D270" s="10" t="s">
        <v>58</v>
      </c>
      <c r="E270" s="12" t="n">
        <v>46251</v>
      </c>
      <c r="F270" s="10" t="n">
        <v>5</v>
      </c>
      <c r="G270" s="12" t="n">
        <v>46286</v>
      </c>
      <c r="H270" s="13" t="n">
        <v>1</v>
      </c>
      <c r="I270" s="10" t="s">
        <v>113</v>
      </c>
      <c r="J270" s="14" t="str">
        <f aca="false">IFERROR(VLOOKUP(D270,Role_Mapping!$A$5:$D$31,2,FALSE()),"UNMAPPED")</f>
        <v>Solutions Enabler</v>
      </c>
      <c r="K270" s="14" t="str">
        <f aca="false">IFERROR(VLOOKUP(D270,Role_Mapping!$A$5:$D$31,3,FALSE()),"IN")</f>
        <v>IN</v>
      </c>
      <c r="L270" s="15" t="n">
        <f aca="false">IFERROR(SUMPRODUCT((Rate_Card!$A$5:$A$34=J270)*(Rate_Card!$B$5:$B$34=K270)*Rate_Card!$C$5:$C$34),0)</f>
        <v>683</v>
      </c>
      <c r="M270" s="10" t="n">
        <f aca="false">F270*5</f>
        <v>25</v>
      </c>
      <c r="N270" s="16" t="n">
        <f aca="false">L270*M270*H270</f>
        <v>17075</v>
      </c>
      <c r="O270" s="10" t="n">
        <f aca="false">(G270-E270)+1</f>
        <v>36</v>
      </c>
      <c r="P270" s="14" t="str">
        <f aca="false">IFERROR(VLOOKUP(D270,Role_Mapping!$A$5:$D$31,4,FALSE()),"UNMAPPED")</f>
        <v>Data Engineering</v>
      </c>
      <c r="Q270" s="16" t="n">
        <f aca="false">$N270*MAX(0,(MIN($G270,DATE(2026,7,31))-MAX($E270,DATE(2026,7,1))+1))/$O270</f>
        <v>0</v>
      </c>
      <c r="R270" s="16" t="n">
        <f aca="false">$N270*MAX(0,(MIN($G270,DATE(2026,8,31))-MAX($E270,DATE(2026,8,1))+1))/$O270</f>
        <v>7114.58333333333</v>
      </c>
      <c r="S270" s="16" t="n">
        <f aca="false">$N270*MAX(0,(MIN($G270,DATE(2026,9,30))-MAX($E270,DATE(2026,9,1))+1))/$O270</f>
        <v>9960.41666666667</v>
      </c>
      <c r="T270" s="16" t="n">
        <f aca="false">$N270*MAX(0,(MIN($G270,DATE(2026,10,31))-MAX($E270,DATE(2026,10,1))+1))/$O270</f>
        <v>0</v>
      </c>
      <c r="U270" s="16" t="n">
        <f aca="false">$N270*MAX(0,(MIN($G270,DATE(2026,11,30))-MAX($E270,DATE(2026,11,1))+1))/$O270</f>
        <v>0</v>
      </c>
      <c r="V270" s="16" t="n">
        <f aca="false">$N270*MAX(0,(MIN($G270,DATE(2026,12,31))-MAX($E270,DATE(2026,12,1))+1))/$O270</f>
        <v>0</v>
      </c>
      <c r="W270" s="17" t="n">
        <f aca="false">$H270*MAX(0,(MIN($G270,DATE(2026,7,31))-MAX($E270,DATE(2026,7,1))+1))/30.4</f>
        <v>0</v>
      </c>
      <c r="X270" s="17" t="n">
        <f aca="false">$H270*MAX(0,(MIN($G270,DATE(2026,8,31))-MAX($E270,DATE(2026,8,1))+1))/30.4</f>
        <v>0.493421052631579</v>
      </c>
      <c r="Y270" s="17" t="n">
        <f aca="false">$H270*MAX(0,(MIN($G270,DATE(2026,9,30))-MAX($E270,DATE(2026,9,1))+1))/30.4</f>
        <v>0.690789473684211</v>
      </c>
      <c r="Z270" s="17" t="n">
        <f aca="false">$H270*MAX(0,(MIN($G270,DATE(2026,10,31))-MAX($E270,DATE(2026,10,1))+1))/30.4</f>
        <v>0</v>
      </c>
      <c r="AA270" s="17" t="n">
        <f aca="false">$H270*MAX(0,(MIN($G270,DATE(2026,11,30))-MAX($E270,DATE(2026,11,1))+1))/30.4</f>
        <v>0</v>
      </c>
      <c r="AB270" s="17" t="n">
        <f aca="false">$H270*MAX(0,(MIN($G270,DATE(2026,12,31))-MAX($E270,DATE(2026,12,1))+1))/30.4</f>
        <v>0</v>
      </c>
    </row>
    <row r="271" customFormat="false" ht="15" hidden="false" customHeight="false" outlineLevel="0" collapsed="false">
      <c r="A271" s="10" t="n">
        <v>174</v>
      </c>
      <c r="B271" s="10" t="n">
        <v>5</v>
      </c>
      <c r="C271" s="10"/>
      <c r="D271" s="10" t="s">
        <v>76</v>
      </c>
      <c r="E271" s="12" t="n">
        <v>46251</v>
      </c>
      <c r="F271" s="10" t="n">
        <v>5</v>
      </c>
      <c r="G271" s="12" t="n">
        <v>46286</v>
      </c>
      <c r="H271" s="13" t="n">
        <v>1</v>
      </c>
      <c r="I271" s="10" t="s">
        <v>113</v>
      </c>
      <c r="J271" s="14" t="str">
        <f aca="false">IFERROR(VLOOKUP(D271,Role_Mapping!$A$5:$D$31,2,FALSE()),"UNMAPPED")</f>
        <v>Senior Software Engineer</v>
      </c>
      <c r="K271" s="14" t="str">
        <f aca="false">IFERROR(VLOOKUP(D271,Role_Mapping!$A$5:$D$31,3,FALSE()),"IN")</f>
        <v>IN</v>
      </c>
      <c r="L271" s="15" t="n">
        <f aca="false">IFERROR(SUMPRODUCT((Rate_Card!$A$5:$A$34=J271)*(Rate_Card!$B$5:$B$34=K271)*Rate_Card!$C$5:$C$34),0)</f>
        <v>585</v>
      </c>
      <c r="M271" s="10" t="n">
        <f aca="false">F271*5</f>
        <v>25</v>
      </c>
      <c r="N271" s="16" t="n">
        <f aca="false">L271*M271*H271</f>
        <v>14625</v>
      </c>
      <c r="O271" s="10" t="n">
        <f aca="false">(G271-E271)+1</f>
        <v>36</v>
      </c>
      <c r="P271" s="14" t="str">
        <f aca="false">IFERROR(VLOOKUP(D271,Role_Mapping!$A$5:$D$31,4,FALSE()),"UNMAPPED")</f>
        <v>Full Stack</v>
      </c>
      <c r="Q271" s="16" t="n">
        <f aca="false">$N271*MAX(0,(MIN($G271,DATE(2026,7,31))-MAX($E271,DATE(2026,7,1))+1))/$O271</f>
        <v>0</v>
      </c>
      <c r="R271" s="16" t="n">
        <f aca="false">$N271*MAX(0,(MIN($G271,DATE(2026,8,31))-MAX($E271,DATE(2026,8,1))+1))/$O271</f>
        <v>6093.75</v>
      </c>
      <c r="S271" s="16" t="n">
        <f aca="false">$N271*MAX(0,(MIN($G271,DATE(2026,9,30))-MAX($E271,DATE(2026,9,1))+1))/$O271</f>
        <v>8531.25</v>
      </c>
      <c r="T271" s="16" t="n">
        <f aca="false">$N271*MAX(0,(MIN($G271,DATE(2026,10,31))-MAX($E271,DATE(2026,10,1))+1))/$O271</f>
        <v>0</v>
      </c>
      <c r="U271" s="16" t="n">
        <f aca="false">$N271*MAX(0,(MIN($G271,DATE(2026,11,30))-MAX($E271,DATE(2026,11,1))+1))/$O271</f>
        <v>0</v>
      </c>
      <c r="V271" s="16" t="n">
        <f aca="false">$N271*MAX(0,(MIN($G271,DATE(2026,12,31))-MAX($E271,DATE(2026,12,1))+1))/$O271</f>
        <v>0</v>
      </c>
      <c r="W271" s="17" t="n">
        <f aca="false">$H271*MAX(0,(MIN($G271,DATE(2026,7,31))-MAX($E271,DATE(2026,7,1))+1))/30.4</f>
        <v>0</v>
      </c>
      <c r="X271" s="17" t="n">
        <f aca="false">$H271*MAX(0,(MIN($G271,DATE(2026,8,31))-MAX($E271,DATE(2026,8,1))+1))/30.4</f>
        <v>0.493421052631579</v>
      </c>
      <c r="Y271" s="17" t="n">
        <f aca="false">$H271*MAX(0,(MIN($G271,DATE(2026,9,30))-MAX($E271,DATE(2026,9,1))+1))/30.4</f>
        <v>0.690789473684211</v>
      </c>
      <c r="Z271" s="17" t="n">
        <f aca="false">$H271*MAX(0,(MIN($G271,DATE(2026,10,31))-MAX($E271,DATE(2026,10,1))+1))/30.4</f>
        <v>0</v>
      </c>
      <c r="AA271" s="17" t="n">
        <f aca="false">$H271*MAX(0,(MIN($G271,DATE(2026,11,30))-MAX($E271,DATE(2026,11,1))+1))/30.4</f>
        <v>0</v>
      </c>
      <c r="AB271" s="17" t="n">
        <f aca="false">$H271*MAX(0,(MIN($G271,DATE(2026,12,31))-MAX($E271,DATE(2026,12,1))+1))/30.4</f>
        <v>0</v>
      </c>
    </row>
    <row r="272" customFormat="false" ht="15" hidden="false" customHeight="false" outlineLevel="0" collapsed="false">
      <c r="A272" s="10" t="n">
        <v>175</v>
      </c>
      <c r="B272" s="10" t="n">
        <v>5</v>
      </c>
      <c r="C272" s="10"/>
      <c r="D272" s="10" t="s">
        <v>75</v>
      </c>
      <c r="E272" s="12" t="n">
        <v>46251</v>
      </c>
      <c r="F272" s="10" t="n">
        <v>5</v>
      </c>
      <c r="G272" s="12" t="n">
        <v>46286</v>
      </c>
      <c r="H272" s="13" t="n">
        <v>1</v>
      </c>
      <c r="I272" s="10" t="s">
        <v>113</v>
      </c>
      <c r="J272" s="14" t="str">
        <f aca="false">IFERROR(VLOOKUP(D272,Role_Mapping!$A$5:$D$31,2,FALSE()),"UNMAPPED")</f>
        <v>Software Engineer</v>
      </c>
      <c r="K272" s="14" t="str">
        <f aca="false">IFERROR(VLOOKUP(D272,Role_Mapping!$A$5:$D$31,3,FALSE()),"IN")</f>
        <v>IN</v>
      </c>
      <c r="L272" s="15" t="n">
        <f aca="false">IFERROR(SUMPRODUCT((Rate_Card!$A$5:$A$34=J272)*(Rate_Card!$B$5:$B$34=K272)*Rate_Card!$C$5:$C$34),0)</f>
        <v>455</v>
      </c>
      <c r="M272" s="10" t="n">
        <f aca="false">F272*5</f>
        <v>25</v>
      </c>
      <c r="N272" s="16" t="n">
        <f aca="false">L272*M272*H272</f>
        <v>11375</v>
      </c>
      <c r="O272" s="10" t="n">
        <f aca="false">(G272-E272)+1</f>
        <v>36</v>
      </c>
      <c r="P272" s="14" t="str">
        <f aca="false">IFERROR(VLOOKUP(D272,Role_Mapping!$A$5:$D$31,4,FALSE()),"UNMAPPED")</f>
        <v>Full Stack</v>
      </c>
      <c r="Q272" s="16" t="n">
        <f aca="false">$N272*MAX(0,(MIN($G272,DATE(2026,7,31))-MAX($E272,DATE(2026,7,1))+1))/$O272</f>
        <v>0</v>
      </c>
      <c r="R272" s="16" t="n">
        <f aca="false">$N272*MAX(0,(MIN($G272,DATE(2026,8,31))-MAX($E272,DATE(2026,8,1))+1))/$O272</f>
        <v>4739.58333333333</v>
      </c>
      <c r="S272" s="16" t="n">
        <f aca="false">$N272*MAX(0,(MIN($G272,DATE(2026,9,30))-MAX($E272,DATE(2026,9,1))+1))/$O272</f>
        <v>6635.41666666667</v>
      </c>
      <c r="T272" s="16" t="n">
        <f aca="false">$N272*MAX(0,(MIN($G272,DATE(2026,10,31))-MAX($E272,DATE(2026,10,1))+1))/$O272</f>
        <v>0</v>
      </c>
      <c r="U272" s="16" t="n">
        <f aca="false">$N272*MAX(0,(MIN($G272,DATE(2026,11,30))-MAX($E272,DATE(2026,11,1))+1))/$O272</f>
        <v>0</v>
      </c>
      <c r="V272" s="16" t="n">
        <f aca="false">$N272*MAX(0,(MIN($G272,DATE(2026,12,31))-MAX($E272,DATE(2026,12,1))+1))/$O272</f>
        <v>0</v>
      </c>
      <c r="W272" s="17" t="n">
        <f aca="false">$H272*MAX(0,(MIN($G272,DATE(2026,7,31))-MAX($E272,DATE(2026,7,1))+1))/30.4</f>
        <v>0</v>
      </c>
      <c r="X272" s="17" t="n">
        <f aca="false">$H272*MAX(0,(MIN($G272,DATE(2026,8,31))-MAX($E272,DATE(2026,8,1))+1))/30.4</f>
        <v>0.493421052631579</v>
      </c>
      <c r="Y272" s="17" t="n">
        <f aca="false">$H272*MAX(0,(MIN($G272,DATE(2026,9,30))-MAX($E272,DATE(2026,9,1))+1))/30.4</f>
        <v>0.690789473684211</v>
      </c>
      <c r="Z272" s="17" t="n">
        <f aca="false">$H272*MAX(0,(MIN($G272,DATE(2026,10,31))-MAX($E272,DATE(2026,10,1))+1))/30.4</f>
        <v>0</v>
      </c>
      <c r="AA272" s="17" t="n">
        <f aca="false">$H272*MAX(0,(MIN($G272,DATE(2026,11,30))-MAX($E272,DATE(2026,11,1))+1))/30.4</f>
        <v>0</v>
      </c>
      <c r="AB272" s="17" t="n">
        <f aca="false">$H272*MAX(0,(MIN($G272,DATE(2026,12,31))-MAX($E272,DATE(2026,12,1))+1))/30.4</f>
        <v>0</v>
      </c>
    </row>
    <row r="273" customFormat="false" ht="15" hidden="false" customHeight="false" outlineLevel="0" collapsed="false">
      <c r="A273" s="10" t="n">
        <v>176</v>
      </c>
      <c r="B273" s="10" t="n">
        <v>5</v>
      </c>
      <c r="C273" s="10" t="s">
        <v>168</v>
      </c>
      <c r="D273" s="10" t="s">
        <v>62</v>
      </c>
      <c r="E273" s="12" t="n">
        <v>46258</v>
      </c>
      <c r="F273" s="10" t="n">
        <v>12</v>
      </c>
      <c r="G273" s="12" t="n">
        <v>46342</v>
      </c>
      <c r="H273" s="13" t="n">
        <v>0.5</v>
      </c>
      <c r="I273" s="10" t="s">
        <v>123</v>
      </c>
      <c r="J273" s="14" t="str">
        <f aca="false">IFERROR(VLOOKUP(D273,Role_Mapping!$A$5:$D$31,2,FALSE()),"UNMAPPED")</f>
        <v>Associate Partner</v>
      </c>
      <c r="K273" s="14" t="str">
        <f aca="false">IFERROR(VLOOKUP(D273,Role_Mapping!$A$5:$D$31,3,FALSE()),"IN")</f>
        <v>UK</v>
      </c>
      <c r="L273" s="15" t="n">
        <f aca="false">IFERROR(SUMPRODUCT((Rate_Card!$A$5:$A$34=J273)*(Rate_Card!$B$5:$B$34=K273)*Rate_Card!$C$5:$C$34),0)</f>
        <v>3526</v>
      </c>
      <c r="M273" s="10" t="n">
        <f aca="false">F273*5</f>
        <v>60</v>
      </c>
      <c r="N273" s="16" t="n">
        <f aca="false">L273*M273*H273</f>
        <v>105780</v>
      </c>
      <c r="O273" s="10" t="n">
        <f aca="false">(G273-E273)+1</f>
        <v>85</v>
      </c>
      <c r="P273" s="14" t="str">
        <f aca="false">IFERROR(VLOOKUP(D273,Role_Mapping!$A$5:$D$31,4,FALSE()),"UNMAPPED")</f>
        <v>GTM</v>
      </c>
      <c r="Q273" s="16" t="n">
        <f aca="false">$N273*MAX(0,(MIN($G273,DATE(2026,7,31))-MAX($E273,DATE(2026,7,1))+1))/$O273</f>
        <v>0</v>
      </c>
      <c r="R273" s="16" t="n">
        <f aca="false">$N273*MAX(0,(MIN($G273,DATE(2026,8,31))-MAX($E273,DATE(2026,8,1))+1))/$O273</f>
        <v>9955.76470588235</v>
      </c>
      <c r="S273" s="16" t="n">
        <f aca="false">$N273*MAX(0,(MIN($G273,DATE(2026,9,30))-MAX($E273,DATE(2026,9,1))+1))/$O273</f>
        <v>37334.1176470588</v>
      </c>
      <c r="T273" s="16" t="n">
        <f aca="false">$N273*MAX(0,(MIN($G273,DATE(2026,10,31))-MAX($E273,DATE(2026,10,1))+1))/$O273</f>
        <v>38578.5882352941</v>
      </c>
      <c r="U273" s="16" t="n">
        <f aca="false">$N273*MAX(0,(MIN($G273,DATE(2026,11,30))-MAX($E273,DATE(2026,11,1))+1))/$O273</f>
        <v>19911.5294117647</v>
      </c>
      <c r="V273" s="16" t="n">
        <f aca="false">$N273*MAX(0,(MIN($G273,DATE(2026,12,31))-MAX($E273,DATE(2026,12,1))+1))/$O273</f>
        <v>0</v>
      </c>
      <c r="W273" s="17" t="n">
        <f aca="false">$H273*MAX(0,(MIN($G273,DATE(2026,7,31))-MAX($E273,DATE(2026,7,1))+1))/30.4</f>
        <v>0</v>
      </c>
      <c r="X273" s="17" t="n">
        <f aca="false">$H273*MAX(0,(MIN($G273,DATE(2026,8,31))-MAX($E273,DATE(2026,8,1))+1))/30.4</f>
        <v>0.131578947368421</v>
      </c>
      <c r="Y273" s="17" t="n">
        <f aca="false">$H273*MAX(0,(MIN($G273,DATE(2026,9,30))-MAX($E273,DATE(2026,9,1))+1))/30.4</f>
        <v>0.493421052631579</v>
      </c>
      <c r="Z273" s="17" t="n">
        <f aca="false">$H273*MAX(0,(MIN($G273,DATE(2026,10,31))-MAX($E273,DATE(2026,10,1))+1))/30.4</f>
        <v>0.509868421052632</v>
      </c>
      <c r="AA273" s="17" t="n">
        <f aca="false">$H273*MAX(0,(MIN($G273,DATE(2026,11,30))-MAX($E273,DATE(2026,11,1))+1))/30.4</f>
        <v>0.263157894736842</v>
      </c>
      <c r="AB273" s="17" t="n">
        <f aca="false">$H273*MAX(0,(MIN($G273,DATE(2026,12,31))-MAX($E273,DATE(2026,12,1))+1))/30.4</f>
        <v>0</v>
      </c>
    </row>
    <row r="274" customFormat="false" ht="15" hidden="false" customHeight="false" outlineLevel="0" collapsed="false">
      <c r="A274" s="10" t="n">
        <v>177</v>
      </c>
      <c r="B274" s="10" t="n">
        <v>5</v>
      </c>
      <c r="C274" s="10"/>
      <c r="D274" s="10" t="s">
        <v>53</v>
      </c>
      <c r="E274" s="12" t="n">
        <v>46258</v>
      </c>
      <c r="F274" s="10" t="n">
        <v>5</v>
      </c>
      <c r="G274" s="12" t="n">
        <v>46293</v>
      </c>
      <c r="H274" s="13" t="n">
        <v>0.5</v>
      </c>
      <c r="I274" s="10" t="s">
        <v>113</v>
      </c>
      <c r="J274" s="14" t="str">
        <f aca="false">IFERROR(VLOOKUP(D274,Role_Mapping!$A$5:$D$31,2,FALSE()),"UNMAPPED")</f>
        <v>Consultant</v>
      </c>
      <c r="K274" s="14" t="str">
        <f aca="false">IFERROR(VLOOKUP(D274,Role_Mapping!$A$5:$D$31,3,FALSE()),"IN")</f>
        <v>IN</v>
      </c>
      <c r="L274" s="15" t="n">
        <f aca="false">IFERROR(SUMPRODUCT((Rate_Card!$A$5:$A$34=J274)*(Rate_Card!$B$5:$B$34=K274)*Rate_Card!$C$5:$C$34),0)</f>
        <v>683</v>
      </c>
      <c r="M274" s="10" t="n">
        <f aca="false">F274*5</f>
        <v>25</v>
      </c>
      <c r="N274" s="16" t="n">
        <f aca="false">L274*M274*H274</f>
        <v>8537.5</v>
      </c>
      <c r="O274" s="10" t="n">
        <f aca="false">(G274-E274)+1</f>
        <v>36</v>
      </c>
      <c r="P274" s="14" t="str">
        <f aca="false">IFERROR(VLOOKUP(D274,Role_Mapping!$A$5:$D$31,4,FALSE()),"UNMAPPED")</f>
        <v>Consulting</v>
      </c>
      <c r="Q274" s="16" t="n">
        <f aca="false">$N274*MAX(0,(MIN($G274,DATE(2026,7,31))-MAX($E274,DATE(2026,7,1))+1))/$O274</f>
        <v>0</v>
      </c>
      <c r="R274" s="16" t="n">
        <f aca="false">$N274*MAX(0,(MIN($G274,DATE(2026,8,31))-MAX($E274,DATE(2026,8,1))+1))/$O274</f>
        <v>1897.22222222222</v>
      </c>
      <c r="S274" s="16" t="n">
        <f aca="false">$N274*MAX(0,(MIN($G274,DATE(2026,9,30))-MAX($E274,DATE(2026,9,1))+1))/$O274</f>
        <v>6640.27777777778</v>
      </c>
      <c r="T274" s="16" t="n">
        <f aca="false">$N274*MAX(0,(MIN($G274,DATE(2026,10,31))-MAX($E274,DATE(2026,10,1))+1))/$O274</f>
        <v>0</v>
      </c>
      <c r="U274" s="16" t="n">
        <f aca="false">$N274*MAX(0,(MIN($G274,DATE(2026,11,30))-MAX($E274,DATE(2026,11,1))+1))/$O274</f>
        <v>0</v>
      </c>
      <c r="V274" s="16" t="n">
        <f aca="false">$N274*MAX(0,(MIN($G274,DATE(2026,12,31))-MAX($E274,DATE(2026,12,1))+1))/$O274</f>
        <v>0</v>
      </c>
      <c r="W274" s="17" t="n">
        <f aca="false">$H274*MAX(0,(MIN($G274,DATE(2026,7,31))-MAX($E274,DATE(2026,7,1))+1))/30.4</f>
        <v>0</v>
      </c>
      <c r="X274" s="17" t="n">
        <f aca="false">$H274*MAX(0,(MIN($G274,DATE(2026,8,31))-MAX($E274,DATE(2026,8,1))+1))/30.4</f>
        <v>0.131578947368421</v>
      </c>
      <c r="Y274" s="17" t="n">
        <f aca="false">$H274*MAX(0,(MIN($G274,DATE(2026,9,30))-MAX($E274,DATE(2026,9,1))+1))/30.4</f>
        <v>0.460526315789474</v>
      </c>
      <c r="Z274" s="17" t="n">
        <f aca="false">$H274*MAX(0,(MIN($G274,DATE(2026,10,31))-MAX($E274,DATE(2026,10,1))+1))/30.4</f>
        <v>0</v>
      </c>
      <c r="AA274" s="17" t="n">
        <f aca="false">$H274*MAX(0,(MIN($G274,DATE(2026,11,30))-MAX($E274,DATE(2026,11,1))+1))/30.4</f>
        <v>0</v>
      </c>
      <c r="AB274" s="17" t="n">
        <f aca="false">$H274*MAX(0,(MIN($G274,DATE(2026,12,31))-MAX($E274,DATE(2026,12,1))+1))/30.4</f>
        <v>0</v>
      </c>
    </row>
    <row r="275" customFormat="false" ht="15" hidden="false" customHeight="false" outlineLevel="0" collapsed="false">
      <c r="A275" s="10" t="n">
        <v>178</v>
      </c>
      <c r="B275" s="10" t="n">
        <v>5</v>
      </c>
      <c r="C275" s="10"/>
      <c r="D275" s="10" t="s">
        <v>64</v>
      </c>
      <c r="E275" s="12" t="n">
        <v>46258</v>
      </c>
      <c r="F275" s="10" t="n">
        <v>5</v>
      </c>
      <c r="G275" s="12" t="n">
        <v>46293</v>
      </c>
      <c r="H275" s="13" t="n">
        <v>0.25</v>
      </c>
      <c r="I275" s="10" t="s">
        <v>113</v>
      </c>
      <c r="J275" s="14" t="str">
        <f aca="false">IFERROR(VLOOKUP(D275,Role_Mapping!$A$5:$D$31,2,FALSE()),"UNMAPPED")</f>
        <v>Principal Technology Architect</v>
      </c>
      <c r="K275" s="14" t="str">
        <f aca="false">IFERROR(VLOOKUP(D275,Role_Mapping!$A$5:$D$31,3,FALSE()),"IN")</f>
        <v>IN</v>
      </c>
      <c r="L275" s="15" t="n">
        <f aca="false">IFERROR(SUMPRODUCT((Rate_Card!$A$5:$A$34=J275)*(Rate_Card!$B$5:$B$34=K275)*Rate_Card!$C$5:$C$34),0)</f>
        <v>845</v>
      </c>
      <c r="M275" s="10" t="n">
        <f aca="false">F275*5</f>
        <v>25</v>
      </c>
      <c r="N275" s="16" t="n">
        <f aca="false">L275*M275*H275</f>
        <v>5281.25</v>
      </c>
      <c r="O275" s="10" t="n">
        <f aca="false">(G275-E275)+1</f>
        <v>36</v>
      </c>
      <c r="P275" s="14" t="str">
        <f aca="false">IFERROR(VLOOKUP(D275,Role_Mapping!$A$5:$D$31,4,FALSE()),"UNMAPPED")</f>
        <v>Full Stack</v>
      </c>
      <c r="Q275" s="16" t="n">
        <f aca="false">$N275*MAX(0,(MIN($G275,DATE(2026,7,31))-MAX($E275,DATE(2026,7,1))+1))/$O275</f>
        <v>0</v>
      </c>
      <c r="R275" s="16" t="n">
        <f aca="false">$N275*MAX(0,(MIN($G275,DATE(2026,8,31))-MAX($E275,DATE(2026,8,1))+1))/$O275</f>
        <v>1173.61111111111</v>
      </c>
      <c r="S275" s="16" t="n">
        <f aca="false">$N275*MAX(0,(MIN($G275,DATE(2026,9,30))-MAX($E275,DATE(2026,9,1))+1))/$O275</f>
        <v>4107.63888888889</v>
      </c>
      <c r="T275" s="16" t="n">
        <f aca="false">$N275*MAX(0,(MIN($G275,DATE(2026,10,31))-MAX($E275,DATE(2026,10,1))+1))/$O275</f>
        <v>0</v>
      </c>
      <c r="U275" s="16" t="n">
        <f aca="false">$N275*MAX(0,(MIN($G275,DATE(2026,11,30))-MAX($E275,DATE(2026,11,1))+1))/$O275</f>
        <v>0</v>
      </c>
      <c r="V275" s="16" t="n">
        <f aca="false">$N275*MAX(0,(MIN($G275,DATE(2026,12,31))-MAX($E275,DATE(2026,12,1))+1))/$O275</f>
        <v>0</v>
      </c>
      <c r="W275" s="17" t="n">
        <f aca="false">$H275*MAX(0,(MIN($G275,DATE(2026,7,31))-MAX($E275,DATE(2026,7,1))+1))/30.4</f>
        <v>0</v>
      </c>
      <c r="X275" s="17" t="n">
        <f aca="false">$H275*MAX(0,(MIN($G275,DATE(2026,8,31))-MAX($E275,DATE(2026,8,1))+1))/30.4</f>
        <v>0.0657894736842105</v>
      </c>
      <c r="Y275" s="17" t="n">
        <f aca="false">$H275*MAX(0,(MIN($G275,DATE(2026,9,30))-MAX($E275,DATE(2026,9,1))+1))/30.4</f>
        <v>0.230263157894737</v>
      </c>
      <c r="Z275" s="17" t="n">
        <f aca="false">$H275*MAX(0,(MIN($G275,DATE(2026,10,31))-MAX($E275,DATE(2026,10,1))+1))/30.4</f>
        <v>0</v>
      </c>
      <c r="AA275" s="17" t="n">
        <f aca="false">$H275*MAX(0,(MIN($G275,DATE(2026,11,30))-MAX($E275,DATE(2026,11,1))+1))/30.4</f>
        <v>0</v>
      </c>
      <c r="AB275" s="17" t="n">
        <f aca="false">$H275*MAX(0,(MIN($G275,DATE(2026,12,31))-MAX($E275,DATE(2026,12,1))+1))/30.4</f>
        <v>0</v>
      </c>
    </row>
    <row r="276" customFormat="false" ht="15" hidden="false" customHeight="false" outlineLevel="0" collapsed="false">
      <c r="A276" s="10" t="n">
        <v>179</v>
      </c>
      <c r="B276" s="10" t="n">
        <v>5</v>
      </c>
      <c r="C276" s="10"/>
      <c r="D276" s="10" t="s">
        <v>70</v>
      </c>
      <c r="E276" s="12" t="n">
        <v>46258</v>
      </c>
      <c r="F276" s="10" t="n">
        <v>5</v>
      </c>
      <c r="G276" s="12" t="n">
        <v>46293</v>
      </c>
      <c r="H276" s="13" t="n">
        <v>1</v>
      </c>
      <c r="I276" s="10" t="s">
        <v>113</v>
      </c>
      <c r="J276" s="14" t="str">
        <f aca="false">IFERROR(VLOOKUP(D276,Role_Mapping!$A$5:$D$31,2,FALSE()),"UNMAPPED")</f>
        <v>Senior Associate Consultant</v>
      </c>
      <c r="K276" s="14" t="str">
        <f aca="false">IFERROR(VLOOKUP(D276,Role_Mapping!$A$5:$D$31,3,FALSE()),"IN")</f>
        <v>IN</v>
      </c>
      <c r="L276" s="15" t="n">
        <f aca="false">IFERROR(SUMPRODUCT((Rate_Card!$A$5:$A$34=J276)*(Rate_Card!$B$5:$B$34=K276)*Rate_Card!$C$5:$C$34),0)</f>
        <v>683</v>
      </c>
      <c r="M276" s="10" t="n">
        <f aca="false">F276*5</f>
        <v>25</v>
      </c>
      <c r="N276" s="16" t="n">
        <f aca="false">L276*M276*H276</f>
        <v>17075</v>
      </c>
      <c r="O276" s="10" t="n">
        <f aca="false">(G276-E276)+1</f>
        <v>36</v>
      </c>
      <c r="P276" s="14" t="str">
        <f aca="false">IFERROR(VLOOKUP(D276,Role_Mapping!$A$5:$D$31,4,FALSE()),"UNMAPPED")</f>
        <v>Consulting</v>
      </c>
      <c r="Q276" s="16" t="n">
        <f aca="false">$N276*MAX(0,(MIN($G276,DATE(2026,7,31))-MAX($E276,DATE(2026,7,1))+1))/$O276</f>
        <v>0</v>
      </c>
      <c r="R276" s="16" t="n">
        <f aca="false">$N276*MAX(0,(MIN($G276,DATE(2026,8,31))-MAX($E276,DATE(2026,8,1))+1))/$O276</f>
        <v>3794.44444444444</v>
      </c>
      <c r="S276" s="16" t="n">
        <f aca="false">$N276*MAX(0,(MIN($G276,DATE(2026,9,30))-MAX($E276,DATE(2026,9,1))+1))/$O276</f>
        <v>13280.5555555556</v>
      </c>
      <c r="T276" s="16" t="n">
        <f aca="false">$N276*MAX(0,(MIN($G276,DATE(2026,10,31))-MAX($E276,DATE(2026,10,1))+1))/$O276</f>
        <v>0</v>
      </c>
      <c r="U276" s="16" t="n">
        <f aca="false">$N276*MAX(0,(MIN($G276,DATE(2026,11,30))-MAX($E276,DATE(2026,11,1))+1))/$O276</f>
        <v>0</v>
      </c>
      <c r="V276" s="16" t="n">
        <f aca="false">$N276*MAX(0,(MIN($G276,DATE(2026,12,31))-MAX($E276,DATE(2026,12,1))+1))/$O276</f>
        <v>0</v>
      </c>
      <c r="W276" s="17" t="n">
        <f aca="false">$H276*MAX(0,(MIN($G276,DATE(2026,7,31))-MAX($E276,DATE(2026,7,1))+1))/30.4</f>
        <v>0</v>
      </c>
      <c r="X276" s="17" t="n">
        <f aca="false">$H276*MAX(0,(MIN($G276,DATE(2026,8,31))-MAX($E276,DATE(2026,8,1))+1))/30.4</f>
        <v>0.263157894736842</v>
      </c>
      <c r="Y276" s="17" t="n">
        <f aca="false">$H276*MAX(0,(MIN($G276,DATE(2026,9,30))-MAX($E276,DATE(2026,9,1))+1))/30.4</f>
        <v>0.921052631578948</v>
      </c>
      <c r="Z276" s="17" t="n">
        <f aca="false">$H276*MAX(0,(MIN($G276,DATE(2026,10,31))-MAX($E276,DATE(2026,10,1))+1))/30.4</f>
        <v>0</v>
      </c>
      <c r="AA276" s="17" t="n">
        <f aca="false">$H276*MAX(0,(MIN($G276,DATE(2026,11,30))-MAX($E276,DATE(2026,11,1))+1))/30.4</f>
        <v>0</v>
      </c>
      <c r="AB276" s="17" t="n">
        <f aca="false">$H276*MAX(0,(MIN($G276,DATE(2026,12,31))-MAX($E276,DATE(2026,12,1))+1))/30.4</f>
        <v>0</v>
      </c>
    </row>
    <row r="277" customFormat="false" ht="15" hidden="false" customHeight="false" outlineLevel="0" collapsed="false">
      <c r="A277" s="10" t="n">
        <v>180</v>
      </c>
      <c r="B277" s="10" t="n">
        <v>5</v>
      </c>
      <c r="C277" s="10"/>
      <c r="D277" s="10" t="s">
        <v>80</v>
      </c>
      <c r="E277" s="12" t="n">
        <v>46258</v>
      </c>
      <c r="F277" s="10" t="n">
        <v>5</v>
      </c>
      <c r="G277" s="12" t="n">
        <v>46293</v>
      </c>
      <c r="H277" s="13" t="n">
        <v>1</v>
      </c>
      <c r="I277" s="10" t="s">
        <v>113</v>
      </c>
      <c r="J277" s="14" t="str">
        <f aca="false">IFERROR(VLOOKUP(D277,Role_Mapping!$A$5:$D$31,2,FALSE()),"UNMAPPED")</f>
        <v>Solutions Consultant</v>
      </c>
      <c r="K277" s="14" t="str">
        <f aca="false">IFERROR(VLOOKUP(D277,Role_Mapping!$A$5:$D$31,3,FALSE()),"IN")</f>
        <v>IN</v>
      </c>
      <c r="L277" s="15" t="n">
        <f aca="false">IFERROR(SUMPRODUCT((Rate_Card!$A$5:$A$34=J277)*(Rate_Card!$B$5:$B$34=K277)*Rate_Card!$C$5:$C$34),0)</f>
        <v>683</v>
      </c>
      <c r="M277" s="10" t="n">
        <f aca="false">F277*5</f>
        <v>25</v>
      </c>
      <c r="N277" s="16" t="n">
        <f aca="false">L277*M277*H277</f>
        <v>17075</v>
      </c>
      <c r="O277" s="10" t="n">
        <f aca="false">(G277-E277)+1</f>
        <v>36</v>
      </c>
      <c r="P277" s="14" t="str">
        <f aca="false">IFERROR(VLOOKUP(D277,Role_Mapping!$A$5:$D$31,4,FALSE()),"UNMAPPED")</f>
        <v>Power BI &amp; Consulting</v>
      </c>
      <c r="Q277" s="16" t="n">
        <f aca="false">$N277*MAX(0,(MIN($G277,DATE(2026,7,31))-MAX($E277,DATE(2026,7,1))+1))/$O277</f>
        <v>0</v>
      </c>
      <c r="R277" s="16" t="n">
        <f aca="false">$N277*MAX(0,(MIN($G277,DATE(2026,8,31))-MAX($E277,DATE(2026,8,1))+1))/$O277</f>
        <v>3794.44444444444</v>
      </c>
      <c r="S277" s="16" t="n">
        <f aca="false">$N277*MAX(0,(MIN($G277,DATE(2026,9,30))-MAX($E277,DATE(2026,9,1))+1))/$O277</f>
        <v>13280.5555555556</v>
      </c>
      <c r="T277" s="16" t="n">
        <f aca="false">$N277*MAX(0,(MIN($G277,DATE(2026,10,31))-MAX($E277,DATE(2026,10,1))+1))/$O277</f>
        <v>0</v>
      </c>
      <c r="U277" s="16" t="n">
        <f aca="false">$N277*MAX(0,(MIN($G277,DATE(2026,11,30))-MAX($E277,DATE(2026,11,1))+1))/$O277</f>
        <v>0</v>
      </c>
      <c r="V277" s="16" t="n">
        <f aca="false">$N277*MAX(0,(MIN($G277,DATE(2026,12,31))-MAX($E277,DATE(2026,12,1))+1))/$O277</f>
        <v>0</v>
      </c>
      <c r="W277" s="17" t="n">
        <f aca="false">$H277*MAX(0,(MIN($G277,DATE(2026,7,31))-MAX($E277,DATE(2026,7,1))+1))/30.4</f>
        <v>0</v>
      </c>
      <c r="X277" s="17" t="n">
        <f aca="false">$H277*MAX(0,(MIN($G277,DATE(2026,8,31))-MAX($E277,DATE(2026,8,1))+1))/30.4</f>
        <v>0.263157894736842</v>
      </c>
      <c r="Y277" s="17" t="n">
        <f aca="false">$H277*MAX(0,(MIN($G277,DATE(2026,9,30))-MAX($E277,DATE(2026,9,1))+1))/30.4</f>
        <v>0.921052631578948</v>
      </c>
      <c r="Z277" s="17" t="n">
        <f aca="false">$H277*MAX(0,(MIN($G277,DATE(2026,10,31))-MAX($E277,DATE(2026,10,1))+1))/30.4</f>
        <v>0</v>
      </c>
      <c r="AA277" s="17" t="n">
        <f aca="false">$H277*MAX(0,(MIN($G277,DATE(2026,11,30))-MAX($E277,DATE(2026,11,1))+1))/30.4</f>
        <v>0</v>
      </c>
      <c r="AB277" s="17" t="n">
        <f aca="false">$H277*MAX(0,(MIN($G277,DATE(2026,12,31))-MAX($E277,DATE(2026,12,1))+1))/30.4</f>
        <v>0</v>
      </c>
    </row>
    <row r="278" customFormat="false" ht="15" hidden="false" customHeight="false" outlineLevel="0" collapsed="false">
      <c r="A278" s="10" t="n">
        <v>181</v>
      </c>
      <c r="B278" s="10" t="n">
        <v>5</v>
      </c>
      <c r="C278" s="10"/>
      <c r="D278" s="10" t="s">
        <v>76</v>
      </c>
      <c r="E278" s="12" t="n">
        <v>46258</v>
      </c>
      <c r="F278" s="10" t="n">
        <v>5</v>
      </c>
      <c r="G278" s="12" t="n">
        <v>46293</v>
      </c>
      <c r="H278" s="13" t="n">
        <v>1</v>
      </c>
      <c r="I278" s="10" t="s">
        <v>113</v>
      </c>
      <c r="J278" s="14" t="str">
        <f aca="false">IFERROR(VLOOKUP(D278,Role_Mapping!$A$5:$D$31,2,FALSE()),"UNMAPPED")</f>
        <v>Senior Software Engineer</v>
      </c>
      <c r="K278" s="14" t="str">
        <f aca="false">IFERROR(VLOOKUP(D278,Role_Mapping!$A$5:$D$31,3,FALSE()),"IN")</f>
        <v>IN</v>
      </c>
      <c r="L278" s="15" t="n">
        <f aca="false">IFERROR(SUMPRODUCT((Rate_Card!$A$5:$A$34=J278)*(Rate_Card!$B$5:$B$34=K278)*Rate_Card!$C$5:$C$34),0)</f>
        <v>585</v>
      </c>
      <c r="M278" s="10" t="n">
        <f aca="false">F278*5</f>
        <v>25</v>
      </c>
      <c r="N278" s="16" t="n">
        <f aca="false">L278*M278*H278</f>
        <v>14625</v>
      </c>
      <c r="O278" s="10" t="n">
        <f aca="false">(G278-E278)+1</f>
        <v>36</v>
      </c>
      <c r="P278" s="14" t="str">
        <f aca="false">IFERROR(VLOOKUP(D278,Role_Mapping!$A$5:$D$31,4,FALSE()),"UNMAPPED")</f>
        <v>Full Stack</v>
      </c>
      <c r="Q278" s="16" t="n">
        <f aca="false">$N278*MAX(0,(MIN($G278,DATE(2026,7,31))-MAX($E278,DATE(2026,7,1))+1))/$O278</f>
        <v>0</v>
      </c>
      <c r="R278" s="16" t="n">
        <f aca="false">$N278*MAX(0,(MIN($G278,DATE(2026,8,31))-MAX($E278,DATE(2026,8,1))+1))/$O278</f>
        <v>3250</v>
      </c>
      <c r="S278" s="16" t="n">
        <f aca="false">$N278*MAX(0,(MIN($G278,DATE(2026,9,30))-MAX($E278,DATE(2026,9,1))+1))/$O278</f>
        <v>11375</v>
      </c>
      <c r="T278" s="16" t="n">
        <f aca="false">$N278*MAX(0,(MIN($G278,DATE(2026,10,31))-MAX($E278,DATE(2026,10,1))+1))/$O278</f>
        <v>0</v>
      </c>
      <c r="U278" s="16" t="n">
        <f aca="false">$N278*MAX(0,(MIN($G278,DATE(2026,11,30))-MAX($E278,DATE(2026,11,1))+1))/$O278</f>
        <v>0</v>
      </c>
      <c r="V278" s="16" t="n">
        <f aca="false">$N278*MAX(0,(MIN($G278,DATE(2026,12,31))-MAX($E278,DATE(2026,12,1))+1))/$O278</f>
        <v>0</v>
      </c>
      <c r="W278" s="17" t="n">
        <f aca="false">$H278*MAX(0,(MIN($G278,DATE(2026,7,31))-MAX($E278,DATE(2026,7,1))+1))/30.4</f>
        <v>0</v>
      </c>
      <c r="X278" s="17" t="n">
        <f aca="false">$H278*MAX(0,(MIN($G278,DATE(2026,8,31))-MAX($E278,DATE(2026,8,1))+1))/30.4</f>
        <v>0.263157894736842</v>
      </c>
      <c r="Y278" s="17" t="n">
        <f aca="false">$H278*MAX(0,(MIN($G278,DATE(2026,9,30))-MAX($E278,DATE(2026,9,1))+1))/30.4</f>
        <v>0.921052631578948</v>
      </c>
      <c r="Z278" s="17" t="n">
        <f aca="false">$H278*MAX(0,(MIN($G278,DATE(2026,10,31))-MAX($E278,DATE(2026,10,1))+1))/30.4</f>
        <v>0</v>
      </c>
      <c r="AA278" s="17" t="n">
        <f aca="false">$H278*MAX(0,(MIN($G278,DATE(2026,11,30))-MAX($E278,DATE(2026,11,1))+1))/30.4</f>
        <v>0</v>
      </c>
      <c r="AB278" s="17" t="n">
        <f aca="false">$H278*MAX(0,(MIN($G278,DATE(2026,12,31))-MAX($E278,DATE(2026,12,1))+1))/30.4</f>
        <v>0</v>
      </c>
    </row>
    <row r="279" customFormat="false" ht="15" hidden="false" customHeight="false" outlineLevel="0" collapsed="false">
      <c r="A279" s="10" t="n">
        <v>182</v>
      </c>
      <c r="B279" s="10" t="n">
        <v>5</v>
      </c>
      <c r="C279" s="10"/>
      <c r="D279" s="10" t="s">
        <v>75</v>
      </c>
      <c r="E279" s="12" t="n">
        <v>46258</v>
      </c>
      <c r="F279" s="10" t="n">
        <v>5</v>
      </c>
      <c r="G279" s="12" t="n">
        <v>46293</v>
      </c>
      <c r="H279" s="13" t="n">
        <v>1</v>
      </c>
      <c r="I279" s="10" t="s">
        <v>113</v>
      </c>
      <c r="J279" s="14" t="str">
        <f aca="false">IFERROR(VLOOKUP(D279,Role_Mapping!$A$5:$D$31,2,FALSE()),"UNMAPPED")</f>
        <v>Software Engineer</v>
      </c>
      <c r="K279" s="14" t="str">
        <f aca="false">IFERROR(VLOOKUP(D279,Role_Mapping!$A$5:$D$31,3,FALSE()),"IN")</f>
        <v>IN</v>
      </c>
      <c r="L279" s="15" t="n">
        <f aca="false">IFERROR(SUMPRODUCT((Rate_Card!$A$5:$A$34=J279)*(Rate_Card!$B$5:$B$34=K279)*Rate_Card!$C$5:$C$34),0)</f>
        <v>455</v>
      </c>
      <c r="M279" s="10" t="n">
        <f aca="false">F279*5</f>
        <v>25</v>
      </c>
      <c r="N279" s="16" t="n">
        <f aca="false">L279*M279*H279</f>
        <v>11375</v>
      </c>
      <c r="O279" s="10" t="n">
        <f aca="false">(G279-E279)+1</f>
        <v>36</v>
      </c>
      <c r="P279" s="14" t="str">
        <f aca="false">IFERROR(VLOOKUP(D279,Role_Mapping!$A$5:$D$31,4,FALSE()),"UNMAPPED")</f>
        <v>Full Stack</v>
      </c>
      <c r="Q279" s="16" t="n">
        <f aca="false">$N279*MAX(0,(MIN($G279,DATE(2026,7,31))-MAX($E279,DATE(2026,7,1))+1))/$O279</f>
        <v>0</v>
      </c>
      <c r="R279" s="16" t="n">
        <f aca="false">$N279*MAX(0,(MIN($G279,DATE(2026,8,31))-MAX($E279,DATE(2026,8,1))+1))/$O279</f>
        <v>2527.77777777778</v>
      </c>
      <c r="S279" s="16" t="n">
        <f aca="false">$N279*MAX(0,(MIN($G279,DATE(2026,9,30))-MAX($E279,DATE(2026,9,1))+1))/$O279</f>
        <v>8847.22222222222</v>
      </c>
      <c r="T279" s="16" t="n">
        <f aca="false">$N279*MAX(0,(MIN($G279,DATE(2026,10,31))-MAX($E279,DATE(2026,10,1))+1))/$O279</f>
        <v>0</v>
      </c>
      <c r="U279" s="16" t="n">
        <f aca="false">$N279*MAX(0,(MIN($G279,DATE(2026,11,30))-MAX($E279,DATE(2026,11,1))+1))/$O279</f>
        <v>0</v>
      </c>
      <c r="V279" s="16" t="n">
        <f aca="false">$N279*MAX(0,(MIN($G279,DATE(2026,12,31))-MAX($E279,DATE(2026,12,1))+1))/$O279</f>
        <v>0</v>
      </c>
      <c r="W279" s="17" t="n">
        <f aca="false">$H279*MAX(0,(MIN($G279,DATE(2026,7,31))-MAX($E279,DATE(2026,7,1))+1))/30.4</f>
        <v>0</v>
      </c>
      <c r="X279" s="17" t="n">
        <f aca="false">$H279*MAX(0,(MIN($G279,DATE(2026,8,31))-MAX($E279,DATE(2026,8,1))+1))/30.4</f>
        <v>0.263157894736842</v>
      </c>
      <c r="Y279" s="17" t="n">
        <f aca="false">$H279*MAX(0,(MIN($G279,DATE(2026,9,30))-MAX($E279,DATE(2026,9,1))+1))/30.4</f>
        <v>0.921052631578948</v>
      </c>
      <c r="Z279" s="17" t="n">
        <f aca="false">$H279*MAX(0,(MIN($G279,DATE(2026,10,31))-MAX($E279,DATE(2026,10,1))+1))/30.4</f>
        <v>0</v>
      </c>
      <c r="AA279" s="17" t="n">
        <f aca="false">$H279*MAX(0,(MIN($G279,DATE(2026,11,30))-MAX($E279,DATE(2026,11,1))+1))/30.4</f>
        <v>0</v>
      </c>
      <c r="AB279" s="17" t="n">
        <f aca="false">$H279*MAX(0,(MIN($G279,DATE(2026,12,31))-MAX($E279,DATE(2026,12,1))+1))/30.4</f>
        <v>0</v>
      </c>
    </row>
    <row r="280" customFormat="false" ht="15" hidden="false" customHeight="false" outlineLevel="0" collapsed="false">
      <c r="A280" s="10" t="n">
        <v>183</v>
      </c>
      <c r="B280" s="10" t="n">
        <v>1</v>
      </c>
      <c r="C280" s="10" t="s">
        <v>169</v>
      </c>
      <c r="D280" s="10" t="s">
        <v>49</v>
      </c>
      <c r="E280" s="12" t="n">
        <v>46265</v>
      </c>
      <c r="F280" s="10" t="n">
        <v>5</v>
      </c>
      <c r="G280" s="12" t="n">
        <v>46300</v>
      </c>
      <c r="H280" s="13" t="n">
        <v>0.125</v>
      </c>
      <c r="I280" s="10" t="s">
        <v>126</v>
      </c>
      <c r="J280" s="14" t="str">
        <f aca="false">IFERROR(VLOOKUP(D280,Role_Mapping!$A$5:$D$31,2,FALSE()),"UNMAPPED")</f>
        <v>Associate Partner</v>
      </c>
      <c r="K280" s="14" t="str">
        <f aca="false">IFERROR(VLOOKUP(D280,Role_Mapping!$A$5:$D$31,3,FALSE()),"IN")</f>
        <v>UK</v>
      </c>
      <c r="L280" s="15" t="n">
        <f aca="false">IFERROR(SUMPRODUCT((Rate_Card!$A$5:$A$34=J280)*(Rate_Card!$B$5:$B$34=K280)*Rate_Card!$C$5:$C$34),0)</f>
        <v>3526</v>
      </c>
      <c r="M280" s="10" t="n">
        <f aca="false">F280*5</f>
        <v>25</v>
      </c>
      <c r="N280" s="16" t="n">
        <f aca="false">L280*M280*H280</f>
        <v>11018.75</v>
      </c>
      <c r="O280" s="10" t="n">
        <f aca="false">(G280-E280)+1</f>
        <v>36</v>
      </c>
      <c r="P280" s="14" t="str">
        <f aca="false">IFERROR(VLOOKUP(D280,Role_Mapping!$A$5:$D$31,4,FALSE()),"UNMAPPED")</f>
        <v>GTM</v>
      </c>
      <c r="Q280" s="16" t="n">
        <f aca="false">$N280*MAX(0,(MIN($G280,DATE(2026,7,31))-MAX($E280,DATE(2026,7,1))+1))/$O280</f>
        <v>0</v>
      </c>
      <c r="R280" s="16" t="n">
        <f aca="false">$N280*MAX(0,(MIN($G280,DATE(2026,8,31))-MAX($E280,DATE(2026,8,1))+1))/$O280</f>
        <v>306.076388888889</v>
      </c>
      <c r="S280" s="16" t="n">
        <f aca="false">$N280*MAX(0,(MIN($G280,DATE(2026,9,30))-MAX($E280,DATE(2026,9,1))+1))/$O280</f>
        <v>9182.29166666667</v>
      </c>
      <c r="T280" s="16" t="n">
        <f aca="false">$N280*MAX(0,(MIN($G280,DATE(2026,10,31))-MAX($E280,DATE(2026,10,1))+1))/$O280</f>
        <v>1530.38194444444</v>
      </c>
      <c r="U280" s="16" t="n">
        <f aca="false">$N280*MAX(0,(MIN($G280,DATE(2026,11,30))-MAX($E280,DATE(2026,11,1))+1))/$O280</f>
        <v>0</v>
      </c>
      <c r="V280" s="16" t="n">
        <f aca="false">$N280*MAX(0,(MIN($G280,DATE(2026,12,31))-MAX($E280,DATE(2026,12,1))+1))/$O280</f>
        <v>0</v>
      </c>
      <c r="W280" s="17" t="n">
        <f aca="false">$H280*MAX(0,(MIN($G280,DATE(2026,7,31))-MAX($E280,DATE(2026,7,1))+1))/30.4</f>
        <v>0</v>
      </c>
      <c r="X280" s="17" t="n">
        <f aca="false">$H280*MAX(0,(MIN($G280,DATE(2026,8,31))-MAX($E280,DATE(2026,8,1))+1))/30.4</f>
        <v>0.00411184210526316</v>
      </c>
      <c r="Y280" s="17" t="n">
        <f aca="false">$H280*MAX(0,(MIN($G280,DATE(2026,9,30))-MAX($E280,DATE(2026,9,1))+1))/30.4</f>
        <v>0.123355263157895</v>
      </c>
      <c r="Z280" s="17" t="n">
        <f aca="false">$H280*MAX(0,(MIN($G280,DATE(2026,10,31))-MAX($E280,DATE(2026,10,1))+1))/30.4</f>
        <v>0.0205592105263158</v>
      </c>
      <c r="AA280" s="17" t="n">
        <f aca="false">$H280*MAX(0,(MIN($G280,DATE(2026,11,30))-MAX($E280,DATE(2026,11,1))+1))/30.4</f>
        <v>0</v>
      </c>
      <c r="AB280" s="17" t="n">
        <f aca="false">$H280*MAX(0,(MIN($G280,DATE(2026,12,31))-MAX($E280,DATE(2026,12,1))+1))/30.4</f>
        <v>0</v>
      </c>
    </row>
    <row r="281" customFormat="false" ht="15" hidden="false" customHeight="false" outlineLevel="0" collapsed="false">
      <c r="A281" s="10" t="n">
        <v>184</v>
      </c>
      <c r="B281" s="10" t="n">
        <v>1</v>
      </c>
      <c r="C281" s="10"/>
      <c r="D281" s="10" t="s">
        <v>61</v>
      </c>
      <c r="E281" s="12" t="n">
        <v>46265</v>
      </c>
      <c r="F281" s="10" t="n">
        <v>5</v>
      </c>
      <c r="G281" s="12" t="n">
        <v>46300</v>
      </c>
      <c r="H281" s="13" t="n">
        <v>0.5</v>
      </c>
      <c r="I281" s="10" t="s">
        <v>126</v>
      </c>
      <c r="J281" s="14" t="str">
        <f aca="false">IFERROR(VLOOKUP(D281,Role_Mapping!$A$5:$D$31,2,FALSE()),"UNMAPPED")</f>
        <v>Manager</v>
      </c>
      <c r="K281" s="14" t="str">
        <f aca="false">IFERROR(VLOOKUP(D281,Role_Mapping!$A$5:$D$31,3,FALSE()),"IN")</f>
        <v>UK</v>
      </c>
      <c r="L281" s="15" t="n">
        <f aca="false">IFERROR(SUMPRODUCT((Rate_Card!$A$5:$A$34=J281)*(Rate_Card!$B$5:$B$34=K281)*Rate_Card!$C$5:$C$34),0)</f>
        <v>2984</v>
      </c>
      <c r="M281" s="10" t="n">
        <f aca="false">F281*5</f>
        <v>25</v>
      </c>
      <c r="N281" s="16" t="n">
        <f aca="false">L281*M281*H281</f>
        <v>37300</v>
      </c>
      <c r="O281" s="10" t="n">
        <f aca="false">(G281-E281)+1</f>
        <v>36</v>
      </c>
      <c r="P281" s="14" t="str">
        <f aca="false">IFERROR(VLOOKUP(D281,Role_Mapping!$A$5:$D$31,4,FALSE()),"UNMAPPED")</f>
        <v>Consulting</v>
      </c>
      <c r="Q281" s="16" t="n">
        <f aca="false">$N281*MAX(0,(MIN($G281,DATE(2026,7,31))-MAX($E281,DATE(2026,7,1))+1))/$O281</f>
        <v>0</v>
      </c>
      <c r="R281" s="16" t="n">
        <f aca="false">$N281*MAX(0,(MIN($G281,DATE(2026,8,31))-MAX($E281,DATE(2026,8,1))+1))/$O281</f>
        <v>1036.11111111111</v>
      </c>
      <c r="S281" s="16" t="n">
        <f aca="false">$N281*MAX(0,(MIN($G281,DATE(2026,9,30))-MAX($E281,DATE(2026,9,1))+1))/$O281</f>
        <v>31083.3333333333</v>
      </c>
      <c r="T281" s="16" t="n">
        <f aca="false">$N281*MAX(0,(MIN($G281,DATE(2026,10,31))-MAX($E281,DATE(2026,10,1))+1))/$O281</f>
        <v>5180.55555555556</v>
      </c>
      <c r="U281" s="16" t="n">
        <f aca="false">$N281*MAX(0,(MIN($G281,DATE(2026,11,30))-MAX($E281,DATE(2026,11,1))+1))/$O281</f>
        <v>0</v>
      </c>
      <c r="V281" s="16" t="n">
        <f aca="false">$N281*MAX(0,(MIN($G281,DATE(2026,12,31))-MAX($E281,DATE(2026,12,1))+1))/$O281</f>
        <v>0</v>
      </c>
      <c r="W281" s="17" t="n">
        <f aca="false">$H281*MAX(0,(MIN($G281,DATE(2026,7,31))-MAX($E281,DATE(2026,7,1))+1))/30.4</f>
        <v>0</v>
      </c>
      <c r="X281" s="17" t="n">
        <f aca="false">$H281*MAX(0,(MIN($G281,DATE(2026,8,31))-MAX($E281,DATE(2026,8,1))+1))/30.4</f>
        <v>0.0164473684210526</v>
      </c>
      <c r="Y281" s="17" t="n">
        <f aca="false">$H281*MAX(0,(MIN($G281,DATE(2026,9,30))-MAX($E281,DATE(2026,9,1))+1))/30.4</f>
        <v>0.493421052631579</v>
      </c>
      <c r="Z281" s="17" t="n">
        <f aca="false">$H281*MAX(0,(MIN($G281,DATE(2026,10,31))-MAX($E281,DATE(2026,10,1))+1))/30.4</f>
        <v>0.0822368421052632</v>
      </c>
      <c r="AA281" s="17" t="n">
        <f aca="false">$H281*MAX(0,(MIN($G281,DATE(2026,11,30))-MAX($E281,DATE(2026,11,1))+1))/30.4</f>
        <v>0</v>
      </c>
      <c r="AB281" s="17" t="n">
        <f aca="false">$H281*MAX(0,(MIN($G281,DATE(2026,12,31))-MAX($E281,DATE(2026,12,1))+1))/30.4</f>
        <v>0</v>
      </c>
    </row>
    <row r="282" customFormat="false" ht="15" hidden="false" customHeight="false" outlineLevel="0" collapsed="false">
      <c r="A282" s="10" t="n">
        <v>185</v>
      </c>
      <c r="B282" s="10" t="n">
        <v>1</v>
      </c>
      <c r="C282" s="10"/>
      <c r="D282" s="10" t="s">
        <v>53</v>
      </c>
      <c r="E282" s="12" t="n">
        <v>46265</v>
      </c>
      <c r="F282" s="10" t="n">
        <v>5</v>
      </c>
      <c r="G282" s="12" t="n">
        <v>46300</v>
      </c>
      <c r="H282" s="13" t="n">
        <v>1</v>
      </c>
      <c r="I282" s="10" t="s">
        <v>126</v>
      </c>
      <c r="J282" s="14" t="str">
        <f aca="false">IFERROR(VLOOKUP(D282,Role_Mapping!$A$5:$D$31,2,FALSE()),"UNMAPPED")</f>
        <v>Consultant</v>
      </c>
      <c r="K282" s="14" t="str">
        <f aca="false">IFERROR(VLOOKUP(D282,Role_Mapping!$A$5:$D$31,3,FALSE()),"IN")</f>
        <v>IN</v>
      </c>
      <c r="L282" s="15" t="n">
        <f aca="false">IFERROR(SUMPRODUCT((Rate_Card!$A$5:$A$34=J282)*(Rate_Card!$B$5:$B$34=K282)*Rate_Card!$C$5:$C$34),0)</f>
        <v>683</v>
      </c>
      <c r="M282" s="10" t="n">
        <f aca="false">F282*5</f>
        <v>25</v>
      </c>
      <c r="N282" s="16" t="n">
        <f aca="false">L282*M282*H282</f>
        <v>17075</v>
      </c>
      <c r="O282" s="10" t="n">
        <f aca="false">(G282-E282)+1</f>
        <v>36</v>
      </c>
      <c r="P282" s="14" t="str">
        <f aca="false">IFERROR(VLOOKUP(D282,Role_Mapping!$A$5:$D$31,4,FALSE()),"UNMAPPED")</f>
        <v>Consulting</v>
      </c>
      <c r="Q282" s="16" t="n">
        <f aca="false">$N282*MAX(0,(MIN($G282,DATE(2026,7,31))-MAX($E282,DATE(2026,7,1))+1))/$O282</f>
        <v>0</v>
      </c>
      <c r="R282" s="16" t="n">
        <f aca="false">$N282*MAX(0,(MIN($G282,DATE(2026,8,31))-MAX($E282,DATE(2026,8,1))+1))/$O282</f>
        <v>474.305555555556</v>
      </c>
      <c r="S282" s="16" t="n">
        <f aca="false">$N282*MAX(0,(MIN($G282,DATE(2026,9,30))-MAX($E282,DATE(2026,9,1))+1))/$O282</f>
        <v>14229.1666666667</v>
      </c>
      <c r="T282" s="16" t="n">
        <f aca="false">$N282*MAX(0,(MIN($G282,DATE(2026,10,31))-MAX($E282,DATE(2026,10,1))+1))/$O282</f>
        <v>2371.52777777778</v>
      </c>
      <c r="U282" s="16" t="n">
        <f aca="false">$N282*MAX(0,(MIN($G282,DATE(2026,11,30))-MAX($E282,DATE(2026,11,1))+1))/$O282</f>
        <v>0</v>
      </c>
      <c r="V282" s="16" t="n">
        <f aca="false">$N282*MAX(0,(MIN($G282,DATE(2026,12,31))-MAX($E282,DATE(2026,12,1))+1))/$O282</f>
        <v>0</v>
      </c>
      <c r="W282" s="17" t="n">
        <f aca="false">$H282*MAX(0,(MIN($G282,DATE(2026,7,31))-MAX($E282,DATE(2026,7,1))+1))/30.4</f>
        <v>0</v>
      </c>
      <c r="X282" s="17" t="n">
        <f aca="false">$H282*MAX(0,(MIN($G282,DATE(2026,8,31))-MAX($E282,DATE(2026,8,1))+1))/30.4</f>
        <v>0.0328947368421053</v>
      </c>
      <c r="Y282" s="17" t="n">
        <f aca="false">$H282*MAX(0,(MIN($G282,DATE(2026,9,30))-MAX($E282,DATE(2026,9,1))+1))/30.4</f>
        <v>0.986842105263158</v>
      </c>
      <c r="Z282" s="17" t="n">
        <f aca="false">$H282*MAX(0,(MIN($G282,DATE(2026,10,31))-MAX($E282,DATE(2026,10,1))+1))/30.4</f>
        <v>0.164473684210526</v>
      </c>
      <c r="AA282" s="17" t="n">
        <f aca="false">$H282*MAX(0,(MIN($G282,DATE(2026,11,30))-MAX($E282,DATE(2026,11,1))+1))/30.4</f>
        <v>0</v>
      </c>
      <c r="AB282" s="17" t="n">
        <f aca="false">$H282*MAX(0,(MIN($G282,DATE(2026,12,31))-MAX($E282,DATE(2026,12,1))+1))/30.4</f>
        <v>0</v>
      </c>
    </row>
    <row r="283" customFormat="false" ht="15" hidden="false" customHeight="false" outlineLevel="0" collapsed="false">
      <c r="A283" s="10" t="n">
        <v>186</v>
      </c>
      <c r="B283" s="10" t="n">
        <v>1</v>
      </c>
      <c r="C283" s="10"/>
      <c r="D283" s="10" t="s">
        <v>64</v>
      </c>
      <c r="E283" s="12" t="n">
        <v>46265</v>
      </c>
      <c r="F283" s="10" t="n">
        <v>5</v>
      </c>
      <c r="G283" s="12" t="n">
        <v>46300</v>
      </c>
      <c r="H283" s="13" t="n">
        <v>0.25</v>
      </c>
      <c r="I283" s="10" t="s">
        <v>113</v>
      </c>
      <c r="J283" s="14" t="str">
        <f aca="false">IFERROR(VLOOKUP(D283,Role_Mapping!$A$5:$D$31,2,FALSE()),"UNMAPPED")</f>
        <v>Principal Technology Architect</v>
      </c>
      <c r="K283" s="14" t="str">
        <f aca="false">IFERROR(VLOOKUP(D283,Role_Mapping!$A$5:$D$31,3,FALSE()),"IN")</f>
        <v>IN</v>
      </c>
      <c r="L283" s="15" t="n">
        <f aca="false">IFERROR(SUMPRODUCT((Rate_Card!$A$5:$A$34=J283)*(Rate_Card!$B$5:$B$34=K283)*Rate_Card!$C$5:$C$34),0)</f>
        <v>845</v>
      </c>
      <c r="M283" s="10" t="n">
        <f aca="false">F283*5</f>
        <v>25</v>
      </c>
      <c r="N283" s="16" t="n">
        <f aca="false">L283*M283*H283</f>
        <v>5281.25</v>
      </c>
      <c r="O283" s="10" t="n">
        <f aca="false">(G283-E283)+1</f>
        <v>36</v>
      </c>
      <c r="P283" s="14" t="str">
        <f aca="false">IFERROR(VLOOKUP(D283,Role_Mapping!$A$5:$D$31,4,FALSE()),"UNMAPPED")</f>
        <v>Full Stack</v>
      </c>
      <c r="Q283" s="16" t="n">
        <f aca="false">$N283*MAX(0,(MIN($G283,DATE(2026,7,31))-MAX($E283,DATE(2026,7,1))+1))/$O283</f>
        <v>0</v>
      </c>
      <c r="R283" s="16" t="n">
        <f aca="false">$N283*MAX(0,(MIN($G283,DATE(2026,8,31))-MAX($E283,DATE(2026,8,1))+1))/$O283</f>
        <v>146.701388888889</v>
      </c>
      <c r="S283" s="16" t="n">
        <f aca="false">$N283*MAX(0,(MIN($G283,DATE(2026,9,30))-MAX($E283,DATE(2026,9,1))+1))/$O283</f>
        <v>4401.04166666667</v>
      </c>
      <c r="T283" s="16" t="n">
        <f aca="false">$N283*MAX(0,(MIN($G283,DATE(2026,10,31))-MAX($E283,DATE(2026,10,1))+1))/$O283</f>
        <v>733.506944444445</v>
      </c>
      <c r="U283" s="16" t="n">
        <f aca="false">$N283*MAX(0,(MIN($G283,DATE(2026,11,30))-MAX($E283,DATE(2026,11,1))+1))/$O283</f>
        <v>0</v>
      </c>
      <c r="V283" s="16" t="n">
        <f aca="false">$N283*MAX(0,(MIN($G283,DATE(2026,12,31))-MAX($E283,DATE(2026,12,1))+1))/$O283</f>
        <v>0</v>
      </c>
      <c r="W283" s="17" t="n">
        <f aca="false">$H283*MAX(0,(MIN($G283,DATE(2026,7,31))-MAX($E283,DATE(2026,7,1))+1))/30.4</f>
        <v>0</v>
      </c>
      <c r="X283" s="17" t="n">
        <f aca="false">$H283*MAX(0,(MIN($G283,DATE(2026,8,31))-MAX($E283,DATE(2026,8,1))+1))/30.4</f>
        <v>0.00822368421052632</v>
      </c>
      <c r="Y283" s="17" t="n">
        <f aca="false">$H283*MAX(0,(MIN($G283,DATE(2026,9,30))-MAX($E283,DATE(2026,9,1))+1))/30.4</f>
        <v>0.24671052631579</v>
      </c>
      <c r="Z283" s="17" t="n">
        <f aca="false">$H283*MAX(0,(MIN($G283,DATE(2026,10,31))-MAX($E283,DATE(2026,10,1))+1))/30.4</f>
        <v>0.0411184210526316</v>
      </c>
      <c r="AA283" s="17" t="n">
        <f aca="false">$H283*MAX(0,(MIN($G283,DATE(2026,11,30))-MAX($E283,DATE(2026,11,1))+1))/30.4</f>
        <v>0</v>
      </c>
      <c r="AB283" s="17" t="n">
        <f aca="false">$H283*MAX(0,(MIN($G283,DATE(2026,12,31))-MAX($E283,DATE(2026,12,1))+1))/30.4</f>
        <v>0</v>
      </c>
    </row>
    <row r="284" customFormat="false" ht="15" hidden="false" customHeight="false" outlineLevel="0" collapsed="false">
      <c r="A284" s="10" t="n">
        <v>187</v>
      </c>
      <c r="B284" s="10" t="n">
        <v>1</v>
      </c>
      <c r="C284" s="10"/>
      <c r="D284" s="10" t="s">
        <v>80</v>
      </c>
      <c r="E284" s="12" t="n">
        <v>46265</v>
      </c>
      <c r="F284" s="10" t="n">
        <v>5</v>
      </c>
      <c r="G284" s="12" t="n">
        <v>46300</v>
      </c>
      <c r="H284" s="13" t="n">
        <v>1</v>
      </c>
      <c r="I284" s="10" t="s">
        <v>113</v>
      </c>
      <c r="J284" s="14" t="str">
        <f aca="false">IFERROR(VLOOKUP(D284,Role_Mapping!$A$5:$D$31,2,FALSE()),"UNMAPPED")</f>
        <v>Solutions Consultant</v>
      </c>
      <c r="K284" s="14" t="str">
        <f aca="false">IFERROR(VLOOKUP(D284,Role_Mapping!$A$5:$D$31,3,FALSE()),"IN")</f>
        <v>IN</v>
      </c>
      <c r="L284" s="15" t="n">
        <f aca="false">IFERROR(SUMPRODUCT((Rate_Card!$A$5:$A$34=J284)*(Rate_Card!$B$5:$B$34=K284)*Rate_Card!$C$5:$C$34),0)</f>
        <v>683</v>
      </c>
      <c r="M284" s="10" t="n">
        <f aca="false">F284*5</f>
        <v>25</v>
      </c>
      <c r="N284" s="16" t="n">
        <f aca="false">L284*M284*H284</f>
        <v>17075</v>
      </c>
      <c r="O284" s="10" t="n">
        <f aca="false">(G284-E284)+1</f>
        <v>36</v>
      </c>
      <c r="P284" s="14" t="str">
        <f aca="false">IFERROR(VLOOKUP(D284,Role_Mapping!$A$5:$D$31,4,FALSE()),"UNMAPPED")</f>
        <v>Power BI &amp; Consulting</v>
      </c>
      <c r="Q284" s="16" t="n">
        <f aca="false">$N284*MAX(0,(MIN($G284,DATE(2026,7,31))-MAX($E284,DATE(2026,7,1))+1))/$O284</f>
        <v>0</v>
      </c>
      <c r="R284" s="16" t="n">
        <f aca="false">$N284*MAX(0,(MIN($G284,DATE(2026,8,31))-MAX($E284,DATE(2026,8,1))+1))/$O284</f>
        <v>474.305555555556</v>
      </c>
      <c r="S284" s="16" t="n">
        <f aca="false">$N284*MAX(0,(MIN($G284,DATE(2026,9,30))-MAX($E284,DATE(2026,9,1))+1))/$O284</f>
        <v>14229.1666666667</v>
      </c>
      <c r="T284" s="16" t="n">
        <f aca="false">$N284*MAX(0,(MIN($G284,DATE(2026,10,31))-MAX($E284,DATE(2026,10,1))+1))/$O284</f>
        <v>2371.52777777778</v>
      </c>
      <c r="U284" s="16" t="n">
        <f aca="false">$N284*MAX(0,(MIN($G284,DATE(2026,11,30))-MAX($E284,DATE(2026,11,1))+1))/$O284</f>
        <v>0</v>
      </c>
      <c r="V284" s="16" t="n">
        <f aca="false">$N284*MAX(0,(MIN($G284,DATE(2026,12,31))-MAX($E284,DATE(2026,12,1))+1))/$O284</f>
        <v>0</v>
      </c>
      <c r="W284" s="17" t="n">
        <f aca="false">$H284*MAX(0,(MIN($G284,DATE(2026,7,31))-MAX($E284,DATE(2026,7,1))+1))/30.4</f>
        <v>0</v>
      </c>
      <c r="X284" s="17" t="n">
        <f aca="false">$H284*MAX(0,(MIN($G284,DATE(2026,8,31))-MAX($E284,DATE(2026,8,1))+1))/30.4</f>
        <v>0.0328947368421053</v>
      </c>
      <c r="Y284" s="17" t="n">
        <f aca="false">$H284*MAX(0,(MIN($G284,DATE(2026,9,30))-MAX($E284,DATE(2026,9,1))+1))/30.4</f>
        <v>0.986842105263158</v>
      </c>
      <c r="Z284" s="17" t="n">
        <f aca="false">$H284*MAX(0,(MIN($G284,DATE(2026,10,31))-MAX($E284,DATE(2026,10,1))+1))/30.4</f>
        <v>0.164473684210526</v>
      </c>
      <c r="AA284" s="17" t="n">
        <f aca="false">$H284*MAX(0,(MIN($G284,DATE(2026,11,30))-MAX($E284,DATE(2026,11,1))+1))/30.4</f>
        <v>0</v>
      </c>
      <c r="AB284" s="17" t="n">
        <f aca="false">$H284*MAX(0,(MIN($G284,DATE(2026,12,31))-MAX($E284,DATE(2026,12,1))+1))/30.4</f>
        <v>0</v>
      </c>
    </row>
    <row r="285" customFormat="false" ht="15" hidden="false" customHeight="false" outlineLevel="0" collapsed="false">
      <c r="A285" s="10" t="n">
        <v>188</v>
      </c>
      <c r="B285" s="10" t="n">
        <v>1</v>
      </c>
      <c r="C285" s="10"/>
      <c r="D285" s="10" t="s">
        <v>75</v>
      </c>
      <c r="E285" s="12" t="n">
        <v>46265</v>
      </c>
      <c r="F285" s="10" t="n">
        <v>5</v>
      </c>
      <c r="G285" s="12" t="n">
        <v>46300</v>
      </c>
      <c r="H285" s="13" t="n">
        <v>1</v>
      </c>
      <c r="I285" s="10" t="s">
        <v>113</v>
      </c>
      <c r="J285" s="14" t="str">
        <f aca="false">IFERROR(VLOOKUP(D285,Role_Mapping!$A$5:$D$31,2,FALSE()),"UNMAPPED")</f>
        <v>Software Engineer</v>
      </c>
      <c r="K285" s="14" t="str">
        <f aca="false">IFERROR(VLOOKUP(D285,Role_Mapping!$A$5:$D$31,3,FALSE()),"IN")</f>
        <v>IN</v>
      </c>
      <c r="L285" s="15" t="n">
        <f aca="false">IFERROR(SUMPRODUCT((Rate_Card!$A$5:$A$34=J285)*(Rate_Card!$B$5:$B$34=K285)*Rate_Card!$C$5:$C$34),0)</f>
        <v>455</v>
      </c>
      <c r="M285" s="10" t="n">
        <f aca="false">F285*5</f>
        <v>25</v>
      </c>
      <c r="N285" s="16" t="n">
        <f aca="false">L285*M285*H285</f>
        <v>11375</v>
      </c>
      <c r="O285" s="10" t="n">
        <f aca="false">(G285-E285)+1</f>
        <v>36</v>
      </c>
      <c r="P285" s="14" t="str">
        <f aca="false">IFERROR(VLOOKUP(D285,Role_Mapping!$A$5:$D$31,4,FALSE()),"UNMAPPED")</f>
        <v>Full Stack</v>
      </c>
      <c r="Q285" s="16" t="n">
        <f aca="false">$N285*MAX(0,(MIN($G285,DATE(2026,7,31))-MAX($E285,DATE(2026,7,1))+1))/$O285</f>
        <v>0</v>
      </c>
      <c r="R285" s="16" t="n">
        <f aca="false">$N285*MAX(0,(MIN($G285,DATE(2026,8,31))-MAX($E285,DATE(2026,8,1))+1))/$O285</f>
        <v>315.972222222222</v>
      </c>
      <c r="S285" s="16" t="n">
        <f aca="false">$N285*MAX(0,(MIN($G285,DATE(2026,9,30))-MAX($E285,DATE(2026,9,1))+1))/$O285</f>
        <v>9479.16666666667</v>
      </c>
      <c r="T285" s="16" t="n">
        <f aca="false">$N285*MAX(0,(MIN($G285,DATE(2026,10,31))-MAX($E285,DATE(2026,10,1))+1))/$O285</f>
        <v>1579.86111111111</v>
      </c>
      <c r="U285" s="16" t="n">
        <f aca="false">$N285*MAX(0,(MIN($G285,DATE(2026,11,30))-MAX($E285,DATE(2026,11,1))+1))/$O285</f>
        <v>0</v>
      </c>
      <c r="V285" s="16" t="n">
        <f aca="false">$N285*MAX(0,(MIN($G285,DATE(2026,12,31))-MAX($E285,DATE(2026,12,1))+1))/$O285</f>
        <v>0</v>
      </c>
      <c r="W285" s="17" t="n">
        <f aca="false">$H285*MAX(0,(MIN($G285,DATE(2026,7,31))-MAX($E285,DATE(2026,7,1))+1))/30.4</f>
        <v>0</v>
      </c>
      <c r="X285" s="17" t="n">
        <f aca="false">$H285*MAX(0,(MIN($G285,DATE(2026,8,31))-MAX($E285,DATE(2026,8,1))+1))/30.4</f>
        <v>0.0328947368421053</v>
      </c>
      <c r="Y285" s="17" t="n">
        <f aca="false">$H285*MAX(0,(MIN($G285,DATE(2026,9,30))-MAX($E285,DATE(2026,9,1))+1))/30.4</f>
        <v>0.986842105263158</v>
      </c>
      <c r="Z285" s="17" t="n">
        <f aca="false">$H285*MAX(0,(MIN($G285,DATE(2026,10,31))-MAX($E285,DATE(2026,10,1))+1))/30.4</f>
        <v>0.164473684210526</v>
      </c>
      <c r="AA285" s="17" t="n">
        <f aca="false">$H285*MAX(0,(MIN($G285,DATE(2026,11,30))-MAX($E285,DATE(2026,11,1))+1))/30.4</f>
        <v>0</v>
      </c>
      <c r="AB285" s="17" t="n">
        <f aca="false">$H285*MAX(0,(MIN($G285,DATE(2026,12,31))-MAX($E285,DATE(2026,12,1))+1))/30.4</f>
        <v>0</v>
      </c>
    </row>
    <row r="286" customFormat="false" ht="15" hidden="false" customHeight="false" outlineLevel="0" collapsed="false">
      <c r="A286" s="10" t="n">
        <v>189</v>
      </c>
      <c r="B286" s="10" t="n">
        <v>5</v>
      </c>
      <c r="C286" s="10" t="s">
        <v>170</v>
      </c>
      <c r="D286" s="10" t="s">
        <v>62</v>
      </c>
      <c r="E286" s="12" t="n">
        <v>46265</v>
      </c>
      <c r="F286" s="10" t="n">
        <v>5</v>
      </c>
      <c r="G286" s="12" t="n">
        <v>46300</v>
      </c>
      <c r="H286" s="13" t="n">
        <v>0.125</v>
      </c>
      <c r="I286" s="10" t="s">
        <v>113</v>
      </c>
      <c r="J286" s="14" t="str">
        <f aca="false">IFERROR(VLOOKUP(D286,Role_Mapping!$A$5:$D$31,2,FALSE()),"UNMAPPED")</f>
        <v>Associate Partner</v>
      </c>
      <c r="K286" s="14" t="str">
        <f aca="false">IFERROR(VLOOKUP(D286,Role_Mapping!$A$5:$D$31,3,FALSE()),"IN")</f>
        <v>UK</v>
      </c>
      <c r="L286" s="15" t="n">
        <f aca="false">IFERROR(SUMPRODUCT((Rate_Card!$A$5:$A$34=J286)*(Rate_Card!$B$5:$B$34=K286)*Rate_Card!$C$5:$C$34),0)</f>
        <v>3526</v>
      </c>
      <c r="M286" s="10" t="n">
        <f aca="false">F286*5</f>
        <v>25</v>
      </c>
      <c r="N286" s="16" t="n">
        <f aca="false">L286*M286*H286</f>
        <v>11018.75</v>
      </c>
      <c r="O286" s="10" t="n">
        <f aca="false">(G286-E286)+1</f>
        <v>36</v>
      </c>
      <c r="P286" s="14" t="str">
        <f aca="false">IFERROR(VLOOKUP(D286,Role_Mapping!$A$5:$D$31,4,FALSE()),"UNMAPPED")</f>
        <v>GTM</v>
      </c>
      <c r="Q286" s="16" t="n">
        <f aca="false">$N286*MAX(0,(MIN($G286,DATE(2026,7,31))-MAX($E286,DATE(2026,7,1))+1))/$O286</f>
        <v>0</v>
      </c>
      <c r="R286" s="16" t="n">
        <f aca="false">$N286*MAX(0,(MIN($G286,DATE(2026,8,31))-MAX($E286,DATE(2026,8,1))+1))/$O286</f>
        <v>306.076388888889</v>
      </c>
      <c r="S286" s="16" t="n">
        <f aca="false">$N286*MAX(0,(MIN($G286,DATE(2026,9,30))-MAX($E286,DATE(2026,9,1))+1))/$O286</f>
        <v>9182.29166666667</v>
      </c>
      <c r="T286" s="16" t="n">
        <f aca="false">$N286*MAX(0,(MIN($G286,DATE(2026,10,31))-MAX($E286,DATE(2026,10,1))+1))/$O286</f>
        <v>1530.38194444444</v>
      </c>
      <c r="U286" s="16" t="n">
        <f aca="false">$N286*MAX(0,(MIN($G286,DATE(2026,11,30))-MAX($E286,DATE(2026,11,1))+1))/$O286</f>
        <v>0</v>
      </c>
      <c r="V286" s="16" t="n">
        <f aca="false">$N286*MAX(0,(MIN($G286,DATE(2026,12,31))-MAX($E286,DATE(2026,12,1))+1))/$O286</f>
        <v>0</v>
      </c>
      <c r="W286" s="17" t="n">
        <f aca="false">$H286*MAX(0,(MIN($G286,DATE(2026,7,31))-MAX($E286,DATE(2026,7,1))+1))/30.4</f>
        <v>0</v>
      </c>
      <c r="X286" s="17" t="n">
        <f aca="false">$H286*MAX(0,(MIN($G286,DATE(2026,8,31))-MAX($E286,DATE(2026,8,1))+1))/30.4</f>
        <v>0.00411184210526316</v>
      </c>
      <c r="Y286" s="17" t="n">
        <f aca="false">$H286*MAX(0,(MIN($G286,DATE(2026,9,30))-MAX($E286,DATE(2026,9,1))+1))/30.4</f>
        <v>0.123355263157895</v>
      </c>
      <c r="Z286" s="17" t="n">
        <f aca="false">$H286*MAX(0,(MIN($G286,DATE(2026,10,31))-MAX($E286,DATE(2026,10,1))+1))/30.4</f>
        <v>0.0205592105263158</v>
      </c>
      <c r="AA286" s="17" t="n">
        <f aca="false">$H286*MAX(0,(MIN($G286,DATE(2026,11,30))-MAX($E286,DATE(2026,11,1))+1))/30.4</f>
        <v>0</v>
      </c>
      <c r="AB286" s="17" t="n">
        <f aca="false">$H286*MAX(0,(MIN($G286,DATE(2026,12,31))-MAX($E286,DATE(2026,12,1))+1))/30.4</f>
        <v>0</v>
      </c>
    </row>
    <row r="287" customFormat="false" ht="15" hidden="false" customHeight="false" outlineLevel="0" collapsed="false">
      <c r="A287" s="10" t="n">
        <v>190</v>
      </c>
      <c r="B287" s="10" t="n">
        <v>5</v>
      </c>
      <c r="C287" s="10"/>
      <c r="D287" s="10" t="s">
        <v>61</v>
      </c>
      <c r="E287" s="12" t="n">
        <v>46265</v>
      </c>
      <c r="F287" s="10" t="n">
        <v>5</v>
      </c>
      <c r="G287" s="12" t="n">
        <v>46300</v>
      </c>
      <c r="H287" s="13" t="n">
        <v>0.125</v>
      </c>
      <c r="I287" s="10" t="s">
        <v>113</v>
      </c>
      <c r="J287" s="14" t="str">
        <f aca="false">IFERROR(VLOOKUP(D287,Role_Mapping!$A$5:$D$31,2,FALSE()),"UNMAPPED")</f>
        <v>Manager</v>
      </c>
      <c r="K287" s="14" t="str">
        <f aca="false">IFERROR(VLOOKUP(D287,Role_Mapping!$A$5:$D$31,3,FALSE()),"IN")</f>
        <v>UK</v>
      </c>
      <c r="L287" s="15" t="n">
        <f aca="false">IFERROR(SUMPRODUCT((Rate_Card!$A$5:$A$34=J287)*(Rate_Card!$B$5:$B$34=K287)*Rate_Card!$C$5:$C$34),0)</f>
        <v>2984</v>
      </c>
      <c r="M287" s="10" t="n">
        <f aca="false">F287*5</f>
        <v>25</v>
      </c>
      <c r="N287" s="16" t="n">
        <f aca="false">L287*M287*H287</f>
        <v>9325</v>
      </c>
      <c r="O287" s="10" t="n">
        <f aca="false">(G287-E287)+1</f>
        <v>36</v>
      </c>
      <c r="P287" s="14" t="str">
        <f aca="false">IFERROR(VLOOKUP(D287,Role_Mapping!$A$5:$D$31,4,FALSE()),"UNMAPPED")</f>
        <v>Consulting</v>
      </c>
      <c r="Q287" s="16" t="n">
        <f aca="false">$N287*MAX(0,(MIN($G287,DATE(2026,7,31))-MAX($E287,DATE(2026,7,1))+1))/$O287</f>
        <v>0</v>
      </c>
      <c r="R287" s="16" t="n">
        <f aca="false">$N287*MAX(0,(MIN($G287,DATE(2026,8,31))-MAX($E287,DATE(2026,8,1))+1))/$O287</f>
        <v>259.027777777778</v>
      </c>
      <c r="S287" s="16" t="n">
        <f aca="false">$N287*MAX(0,(MIN($G287,DATE(2026,9,30))-MAX($E287,DATE(2026,9,1))+1))/$O287</f>
        <v>7770.83333333333</v>
      </c>
      <c r="T287" s="16" t="n">
        <f aca="false">$N287*MAX(0,(MIN($G287,DATE(2026,10,31))-MAX($E287,DATE(2026,10,1))+1))/$O287</f>
        <v>1295.13888888889</v>
      </c>
      <c r="U287" s="16" t="n">
        <f aca="false">$N287*MAX(0,(MIN($G287,DATE(2026,11,30))-MAX($E287,DATE(2026,11,1))+1))/$O287</f>
        <v>0</v>
      </c>
      <c r="V287" s="16" t="n">
        <f aca="false">$N287*MAX(0,(MIN($G287,DATE(2026,12,31))-MAX($E287,DATE(2026,12,1))+1))/$O287</f>
        <v>0</v>
      </c>
      <c r="W287" s="17" t="n">
        <f aca="false">$H287*MAX(0,(MIN($G287,DATE(2026,7,31))-MAX($E287,DATE(2026,7,1))+1))/30.4</f>
        <v>0</v>
      </c>
      <c r="X287" s="17" t="n">
        <f aca="false">$H287*MAX(0,(MIN($G287,DATE(2026,8,31))-MAX($E287,DATE(2026,8,1))+1))/30.4</f>
        <v>0.00411184210526316</v>
      </c>
      <c r="Y287" s="17" t="n">
        <f aca="false">$H287*MAX(0,(MIN($G287,DATE(2026,9,30))-MAX($E287,DATE(2026,9,1))+1))/30.4</f>
        <v>0.123355263157895</v>
      </c>
      <c r="Z287" s="17" t="n">
        <f aca="false">$H287*MAX(0,(MIN($G287,DATE(2026,10,31))-MAX($E287,DATE(2026,10,1))+1))/30.4</f>
        <v>0.0205592105263158</v>
      </c>
      <c r="AA287" s="17" t="n">
        <f aca="false">$H287*MAX(0,(MIN($G287,DATE(2026,11,30))-MAX($E287,DATE(2026,11,1))+1))/30.4</f>
        <v>0</v>
      </c>
      <c r="AB287" s="17" t="n">
        <f aca="false">$H287*MAX(0,(MIN($G287,DATE(2026,12,31))-MAX($E287,DATE(2026,12,1))+1))/30.4</f>
        <v>0</v>
      </c>
    </row>
    <row r="288" customFormat="false" ht="15" hidden="false" customHeight="false" outlineLevel="0" collapsed="false">
      <c r="A288" s="10" t="n">
        <v>191</v>
      </c>
      <c r="B288" s="10" t="n">
        <v>5</v>
      </c>
      <c r="C288" s="10"/>
      <c r="D288" s="10" t="s">
        <v>78</v>
      </c>
      <c r="E288" s="12" t="n">
        <v>46265</v>
      </c>
      <c r="F288" s="10" t="n">
        <v>8</v>
      </c>
      <c r="G288" s="12" t="n">
        <v>46321</v>
      </c>
      <c r="H288" s="13" t="n">
        <v>0.5</v>
      </c>
      <c r="I288" s="10" t="s">
        <v>113</v>
      </c>
      <c r="J288" s="14" t="str">
        <f aca="false">IFERROR(VLOOKUP(D288,Role_Mapping!$A$5:$D$31,2,FALSE()),"UNMAPPED")</f>
        <v>Senior Solutions Consultant</v>
      </c>
      <c r="K288" s="14" t="str">
        <f aca="false">IFERROR(VLOOKUP(D288,Role_Mapping!$A$5:$D$31,3,FALSE()),"IN")</f>
        <v>IN</v>
      </c>
      <c r="L288" s="15" t="n">
        <f aca="false">IFERROR(SUMPRODUCT((Rate_Card!$A$5:$A$34=J288)*(Rate_Card!$B$5:$B$34=K288)*Rate_Card!$C$5:$C$34),0)</f>
        <v>715</v>
      </c>
      <c r="M288" s="10" t="n">
        <f aca="false">F288*5</f>
        <v>40</v>
      </c>
      <c r="N288" s="16" t="n">
        <f aca="false">L288*M288*H288</f>
        <v>14300</v>
      </c>
      <c r="O288" s="10" t="n">
        <f aca="false">(G288-E288)+1</f>
        <v>57</v>
      </c>
      <c r="P288" s="14" t="str">
        <f aca="false">IFERROR(VLOOKUP(D288,Role_Mapping!$A$5:$D$31,4,FALSE()),"UNMAPPED")</f>
        <v>Power BI &amp; Consulting</v>
      </c>
      <c r="Q288" s="16" t="n">
        <f aca="false">$N288*MAX(0,(MIN($G288,DATE(2026,7,31))-MAX($E288,DATE(2026,7,1))+1))/$O288</f>
        <v>0</v>
      </c>
      <c r="R288" s="16" t="n">
        <f aca="false">$N288*MAX(0,(MIN($G288,DATE(2026,8,31))-MAX($E288,DATE(2026,8,1))+1))/$O288</f>
        <v>250.877192982456</v>
      </c>
      <c r="S288" s="16" t="n">
        <f aca="false">$N288*MAX(0,(MIN($G288,DATE(2026,9,30))-MAX($E288,DATE(2026,9,1))+1))/$O288</f>
        <v>7526.31578947368</v>
      </c>
      <c r="T288" s="16" t="n">
        <f aca="false">$N288*MAX(0,(MIN($G288,DATE(2026,10,31))-MAX($E288,DATE(2026,10,1))+1))/$O288</f>
        <v>6522.80701754386</v>
      </c>
      <c r="U288" s="16" t="n">
        <f aca="false">$N288*MAX(0,(MIN($G288,DATE(2026,11,30))-MAX($E288,DATE(2026,11,1))+1))/$O288</f>
        <v>0</v>
      </c>
      <c r="V288" s="16" t="n">
        <f aca="false">$N288*MAX(0,(MIN($G288,DATE(2026,12,31))-MAX($E288,DATE(2026,12,1))+1))/$O288</f>
        <v>0</v>
      </c>
      <c r="W288" s="17" t="n">
        <f aca="false">$H288*MAX(0,(MIN($G288,DATE(2026,7,31))-MAX($E288,DATE(2026,7,1))+1))/30.4</f>
        <v>0</v>
      </c>
      <c r="X288" s="17" t="n">
        <f aca="false">$H288*MAX(0,(MIN($G288,DATE(2026,8,31))-MAX($E288,DATE(2026,8,1))+1))/30.4</f>
        <v>0.0164473684210526</v>
      </c>
      <c r="Y288" s="17" t="n">
        <f aca="false">$H288*MAX(0,(MIN($G288,DATE(2026,9,30))-MAX($E288,DATE(2026,9,1))+1))/30.4</f>
        <v>0.493421052631579</v>
      </c>
      <c r="Z288" s="17" t="n">
        <f aca="false">$H288*MAX(0,(MIN($G288,DATE(2026,10,31))-MAX($E288,DATE(2026,10,1))+1))/30.4</f>
        <v>0.427631578947368</v>
      </c>
      <c r="AA288" s="17" t="n">
        <f aca="false">$H288*MAX(0,(MIN($G288,DATE(2026,11,30))-MAX($E288,DATE(2026,11,1))+1))/30.4</f>
        <v>0</v>
      </c>
      <c r="AB288" s="17" t="n">
        <f aca="false">$H288*MAX(0,(MIN($G288,DATE(2026,12,31))-MAX($E288,DATE(2026,12,1))+1))/30.4</f>
        <v>0</v>
      </c>
    </row>
    <row r="289" customFormat="false" ht="15" hidden="false" customHeight="false" outlineLevel="0" collapsed="false">
      <c r="A289" s="10" t="n">
        <v>192</v>
      </c>
      <c r="B289" s="10" t="n">
        <v>5</v>
      </c>
      <c r="C289" s="10"/>
      <c r="D289" s="10" t="s">
        <v>58</v>
      </c>
      <c r="E289" s="12" t="n">
        <v>46265</v>
      </c>
      <c r="F289" s="10" t="n">
        <v>5</v>
      </c>
      <c r="G289" s="12" t="n">
        <v>46300</v>
      </c>
      <c r="H289" s="13" t="n">
        <v>1</v>
      </c>
      <c r="I289" s="10" t="s">
        <v>113</v>
      </c>
      <c r="J289" s="14" t="str">
        <f aca="false">IFERROR(VLOOKUP(D289,Role_Mapping!$A$5:$D$31,2,FALSE()),"UNMAPPED")</f>
        <v>Solutions Enabler</v>
      </c>
      <c r="K289" s="14" t="str">
        <f aca="false">IFERROR(VLOOKUP(D289,Role_Mapping!$A$5:$D$31,3,FALSE()),"IN")</f>
        <v>IN</v>
      </c>
      <c r="L289" s="15" t="n">
        <f aca="false">IFERROR(SUMPRODUCT((Rate_Card!$A$5:$A$34=J289)*(Rate_Card!$B$5:$B$34=K289)*Rate_Card!$C$5:$C$34),0)</f>
        <v>683</v>
      </c>
      <c r="M289" s="10" t="n">
        <f aca="false">F289*5</f>
        <v>25</v>
      </c>
      <c r="N289" s="16" t="n">
        <f aca="false">L289*M289*H289</f>
        <v>17075</v>
      </c>
      <c r="O289" s="10" t="n">
        <f aca="false">(G289-E289)+1</f>
        <v>36</v>
      </c>
      <c r="P289" s="14" t="str">
        <f aca="false">IFERROR(VLOOKUP(D289,Role_Mapping!$A$5:$D$31,4,FALSE()),"UNMAPPED")</f>
        <v>Data Engineering</v>
      </c>
      <c r="Q289" s="16" t="n">
        <f aca="false">$N289*MAX(0,(MIN($G289,DATE(2026,7,31))-MAX($E289,DATE(2026,7,1))+1))/$O289</f>
        <v>0</v>
      </c>
      <c r="R289" s="16" t="n">
        <f aca="false">$N289*MAX(0,(MIN($G289,DATE(2026,8,31))-MAX($E289,DATE(2026,8,1))+1))/$O289</f>
        <v>474.305555555556</v>
      </c>
      <c r="S289" s="16" t="n">
        <f aca="false">$N289*MAX(0,(MIN($G289,DATE(2026,9,30))-MAX($E289,DATE(2026,9,1))+1))/$O289</f>
        <v>14229.1666666667</v>
      </c>
      <c r="T289" s="16" t="n">
        <f aca="false">$N289*MAX(0,(MIN($G289,DATE(2026,10,31))-MAX($E289,DATE(2026,10,1))+1))/$O289</f>
        <v>2371.52777777778</v>
      </c>
      <c r="U289" s="16" t="n">
        <f aca="false">$N289*MAX(0,(MIN($G289,DATE(2026,11,30))-MAX($E289,DATE(2026,11,1))+1))/$O289</f>
        <v>0</v>
      </c>
      <c r="V289" s="16" t="n">
        <f aca="false">$N289*MAX(0,(MIN($G289,DATE(2026,12,31))-MAX($E289,DATE(2026,12,1))+1))/$O289</f>
        <v>0</v>
      </c>
      <c r="W289" s="17" t="n">
        <f aca="false">$H289*MAX(0,(MIN($G289,DATE(2026,7,31))-MAX($E289,DATE(2026,7,1))+1))/30.4</f>
        <v>0</v>
      </c>
      <c r="X289" s="17" t="n">
        <f aca="false">$H289*MAX(0,(MIN($G289,DATE(2026,8,31))-MAX($E289,DATE(2026,8,1))+1))/30.4</f>
        <v>0.0328947368421053</v>
      </c>
      <c r="Y289" s="17" t="n">
        <f aca="false">$H289*MAX(0,(MIN($G289,DATE(2026,9,30))-MAX($E289,DATE(2026,9,1))+1))/30.4</f>
        <v>0.986842105263158</v>
      </c>
      <c r="Z289" s="17" t="n">
        <f aca="false">$H289*MAX(0,(MIN($G289,DATE(2026,10,31))-MAX($E289,DATE(2026,10,1))+1))/30.4</f>
        <v>0.164473684210526</v>
      </c>
      <c r="AA289" s="17" t="n">
        <f aca="false">$H289*MAX(0,(MIN($G289,DATE(2026,11,30))-MAX($E289,DATE(2026,11,1))+1))/30.4</f>
        <v>0</v>
      </c>
      <c r="AB289" s="17" t="n">
        <f aca="false">$H289*MAX(0,(MIN($G289,DATE(2026,12,31))-MAX($E289,DATE(2026,12,1))+1))/30.4</f>
        <v>0</v>
      </c>
    </row>
    <row r="290" customFormat="false" ht="15" hidden="false" customHeight="false" outlineLevel="0" collapsed="false">
      <c r="A290" s="10" t="n">
        <v>193</v>
      </c>
      <c r="B290" s="10" t="n">
        <v>5</v>
      </c>
      <c r="C290" s="10"/>
      <c r="D290" s="10" t="s">
        <v>76</v>
      </c>
      <c r="E290" s="12" t="n">
        <v>46265</v>
      </c>
      <c r="F290" s="10" t="n">
        <v>5</v>
      </c>
      <c r="G290" s="12" t="n">
        <v>46300</v>
      </c>
      <c r="H290" s="13" t="n">
        <v>1</v>
      </c>
      <c r="I290" s="10" t="s">
        <v>113</v>
      </c>
      <c r="J290" s="14" t="str">
        <f aca="false">IFERROR(VLOOKUP(D290,Role_Mapping!$A$5:$D$31,2,FALSE()),"UNMAPPED")</f>
        <v>Senior Software Engineer</v>
      </c>
      <c r="K290" s="14" t="str">
        <f aca="false">IFERROR(VLOOKUP(D290,Role_Mapping!$A$5:$D$31,3,FALSE()),"IN")</f>
        <v>IN</v>
      </c>
      <c r="L290" s="15" t="n">
        <f aca="false">IFERROR(SUMPRODUCT((Rate_Card!$A$5:$A$34=J290)*(Rate_Card!$B$5:$B$34=K290)*Rate_Card!$C$5:$C$34),0)</f>
        <v>585</v>
      </c>
      <c r="M290" s="10" t="n">
        <f aca="false">F290*5</f>
        <v>25</v>
      </c>
      <c r="N290" s="16" t="n">
        <f aca="false">L290*M290*H290</f>
        <v>14625</v>
      </c>
      <c r="O290" s="10" t="n">
        <f aca="false">(G290-E290)+1</f>
        <v>36</v>
      </c>
      <c r="P290" s="14" t="str">
        <f aca="false">IFERROR(VLOOKUP(D290,Role_Mapping!$A$5:$D$31,4,FALSE()),"UNMAPPED")</f>
        <v>Full Stack</v>
      </c>
      <c r="Q290" s="16" t="n">
        <f aca="false">$N290*MAX(0,(MIN($G290,DATE(2026,7,31))-MAX($E290,DATE(2026,7,1))+1))/$O290</f>
        <v>0</v>
      </c>
      <c r="R290" s="16" t="n">
        <f aca="false">$N290*MAX(0,(MIN($G290,DATE(2026,8,31))-MAX($E290,DATE(2026,8,1))+1))/$O290</f>
        <v>406.25</v>
      </c>
      <c r="S290" s="16" t="n">
        <f aca="false">$N290*MAX(0,(MIN($G290,DATE(2026,9,30))-MAX($E290,DATE(2026,9,1))+1))/$O290</f>
        <v>12187.5</v>
      </c>
      <c r="T290" s="16" t="n">
        <f aca="false">$N290*MAX(0,(MIN($G290,DATE(2026,10,31))-MAX($E290,DATE(2026,10,1))+1))/$O290</f>
        <v>2031.25</v>
      </c>
      <c r="U290" s="16" t="n">
        <f aca="false">$N290*MAX(0,(MIN($G290,DATE(2026,11,30))-MAX($E290,DATE(2026,11,1))+1))/$O290</f>
        <v>0</v>
      </c>
      <c r="V290" s="16" t="n">
        <f aca="false">$N290*MAX(0,(MIN($G290,DATE(2026,12,31))-MAX($E290,DATE(2026,12,1))+1))/$O290</f>
        <v>0</v>
      </c>
      <c r="W290" s="17" t="n">
        <f aca="false">$H290*MAX(0,(MIN($G290,DATE(2026,7,31))-MAX($E290,DATE(2026,7,1))+1))/30.4</f>
        <v>0</v>
      </c>
      <c r="X290" s="17" t="n">
        <f aca="false">$H290*MAX(0,(MIN($G290,DATE(2026,8,31))-MAX($E290,DATE(2026,8,1))+1))/30.4</f>
        <v>0.0328947368421053</v>
      </c>
      <c r="Y290" s="17" t="n">
        <f aca="false">$H290*MAX(0,(MIN($G290,DATE(2026,9,30))-MAX($E290,DATE(2026,9,1))+1))/30.4</f>
        <v>0.986842105263158</v>
      </c>
      <c r="Z290" s="17" t="n">
        <f aca="false">$H290*MAX(0,(MIN($G290,DATE(2026,10,31))-MAX($E290,DATE(2026,10,1))+1))/30.4</f>
        <v>0.164473684210526</v>
      </c>
      <c r="AA290" s="17" t="n">
        <f aca="false">$H290*MAX(0,(MIN($G290,DATE(2026,11,30))-MAX($E290,DATE(2026,11,1))+1))/30.4</f>
        <v>0</v>
      </c>
      <c r="AB290" s="17" t="n">
        <f aca="false">$H290*MAX(0,(MIN($G290,DATE(2026,12,31))-MAX($E290,DATE(2026,12,1))+1))/30.4</f>
        <v>0</v>
      </c>
    </row>
    <row r="291" customFormat="false" ht="15" hidden="false" customHeight="false" outlineLevel="0" collapsed="false">
      <c r="A291" s="10" t="n">
        <v>194</v>
      </c>
      <c r="B291" s="10" t="n">
        <v>3</v>
      </c>
      <c r="C291" s="10" t="s">
        <v>171</v>
      </c>
      <c r="D291" s="10" t="s">
        <v>62</v>
      </c>
      <c r="E291" s="12" t="n">
        <v>46272</v>
      </c>
      <c r="F291" s="10" t="n">
        <v>4</v>
      </c>
      <c r="G291" s="12" t="n">
        <v>46300</v>
      </c>
      <c r="H291" s="13" t="n">
        <v>0.125</v>
      </c>
      <c r="I291" s="10" t="s">
        <v>113</v>
      </c>
      <c r="J291" s="14" t="str">
        <f aca="false">IFERROR(VLOOKUP(D291,Role_Mapping!$A$5:$D$31,2,FALSE()),"UNMAPPED")</f>
        <v>Associate Partner</v>
      </c>
      <c r="K291" s="14" t="str">
        <f aca="false">IFERROR(VLOOKUP(D291,Role_Mapping!$A$5:$D$31,3,FALSE()),"IN")</f>
        <v>UK</v>
      </c>
      <c r="L291" s="15" t="n">
        <f aca="false">IFERROR(SUMPRODUCT((Rate_Card!$A$5:$A$34=J291)*(Rate_Card!$B$5:$B$34=K291)*Rate_Card!$C$5:$C$34),0)</f>
        <v>3526</v>
      </c>
      <c r="M291" s="10" t="n">
        <f aca="false">F291*5</f>
        <v>20</v>
      </c>
      <c r="N291" s="16" t="n">
        <f aca="false">L291*M291*H291</f>
        <v>8815</v>
      </c>
      <c r="O291" s="10" t="n">
        <f aca="false">(G291-E291)+1</f>
        <v>29</v>
      </c>
      <c r="P291" s="14" t="str">
        <f aca="false">IFERROR(VLOOKUP(D291,Role_Mapping!$A$5:$D$31,4,FALSE()),"UNMAPPED")</f>
        <v>GTM</v>
      </c>
      <c r="Q291" s="16" t="n">
        <f aca="false">$N291*MAX(0,(MIN($G291,DATE(2026,7,31))-MAX($E291,DATE(2026,7,1))+1))/$O291</f>
        <v>0</v>
      </c>
      <c r="R291" s="16" t="n">
        <f aca="false">$N291*MAX(0,(MIN($G291,DATE(2026,8,31))-MAX($E291,DATE(2026,8,1))+1))/$O291</f>
        <v>0</v>
      </c>
      <c r="S291" s="16" t="n">
        <f aca="false">$N291*MAX(0,(MIN($G291,DATE(2026,9,30))-MAX($E291,DATE(2026,9,1))+1))/$O291</f>
        <v>7295.1724137931</v>
      </c>
      <c r="T291" s="16" t="n">
        <f aca="false">$N291*MAX(0,(MIN($G291,DATE(2026,10,31))-MAX($E291,DATE(2026,10,1))+1))/$O291</f>
        <v>1519.8275862069</v>
      </c>
      <c r="U291" s="16" t="n">
        <f aca="false">$N291*MAX(0,(MIN($G291,DATE(2026,11,30))-MAX($E291,DATE(2026,11,1))+1))/$O291</f>
        <v>0</v>
      </c>
      <c r="V291" s="16" t="n">
        <f aca="false">$N291*MAX(0,(MIN($G291,DATE(2026,12,31))-MAX($E291,DATE(2026,12,1))+1))/$O291</f>
        <v>0</v>
      </c>
      <c r="W291" s="17" t="n">
        <f aca="false">$H291*MAX(0,(MIN($G291,DATE(2026,7,31))-MAX($E291,DATE(2026,7,1))+1))/30.4</f>
        <v>0</v>
      </c>
      <c r="X291" s="17" t="n">
        <f aca="false">$H291*MAX(0,(MIN($G291,DATE(2026,8,31))-MAX($E291,DATE(2026,8,1))+1))/30.4</f>
        <v>0</v>
      </c>
      <c r="Y291" s="17" t="n">
        <f aca="false">$H291*MAX(0,(MIN($G291,DATE(2026,9,30))-MAX($E291,DATE(2026,9,1))+1))/30.4</f>
        <v>0.0986842105263158</v>
      </c>
      <c r="Z291" s="17" t="n">
        <f aca="false">$H291*MAX(0,(MIN($G291,DATE(2026,10,31))-MAX($E291,DATE(2026,10,1))+1))/30.4</f>
        <v>0.0205592105263158</v>
      </c>
      <c r="AA291" s="17" t="n">
        <f aca="false">$H291*MAX(0,(MIN($G291,DATE(2026,11,30))-MAX($E291,DATE(2026,11,1))+1))/30.4</f>
        <v>0</v>
      </c>
      <c r="AB291" s="17" t="n">
        <f aca="false">$H291*MAX(0,(MIN($G291,DATE(2026,12,31))-MAX($E291,DATE(2026,12,1))+1))/30.4</f>
        <v>0</v>
      </c>
    </row>
    <row r="292" customFormat="false" ht="15" hidden="false" customHeight="false" outlineLevel="0" collapsed="false">
      <c r="A292" s="10" t="n">
        <v>195</v>
      </c>
      <c r="B292" s="10" t="n">
        <v>3</v>
      </c>
      <c r="C292" s="10"/>
      <c r="D292" s="10" t="s">
        <v>72</v>
      </c>
      <c r="E292" s="12" t="n">
        <v>46272</v>
      </c>
      <c r="F292" s="10" t="n">
        <v>5</v>
      </c>
      <c r="G292" s="12" t="n">
        <v>46307</v>
      </c>
      <c r="H292" s="13" t="n">
        <v>0.5</v>
      </c>
      <c r="I292" s="10" t="s">
        <v>113</v>
      </c>
      <c r="J292" s="14" t="str">
        <f aca="false">IFERROR(VLOOKUP(D292,Role_Mapping!$A$5:$D$31,2,FALSE()),"UNMAPPED")</f>
        <v>Senior Consultant</v>
      </c>
      <c r="K292" s="14" t="str">
        <f aca="false">IFERROR(VLOOKUP(D292,Role_Mapping!$A$5:$D$31,3,FALSE()),"IN")</f>
        <v>UK</v>
      </c>
      <c r="L292" s="15" t="n">
        <f aca="false">IFERROR(SUMPRODUCT((Rate_Card!$A$5:$A$34=J292)*(Rate_Card!$B$5:$B$34=K292)*Rate_Card!$C$5:$C$34),0)</f>
        <v>2798</v>
      </c>
      <c r="M292" s="10" t="n">
        <f aca="false">F292*5</f>
        <v>25</v>
      </c>
      <c r="N292" s="16" t="n">
        <f aca="false">L292*M292*H292</f>
        <v>34975</v>
      </c>
      <c r="O292" s="10" t="n">
        <f aca="false">(G292-E292)+1</f>
        <v>36</v>
      </c>
      <c r="P292" s="14" t="str">
        <f aca="false">IFERROR(VLOOKUP(D292,Role_Mapping!$A$5:$D$31,4,FALSE()),"UNMAPPED")</f>
        <v>Consulting</v>
      </c>
      <c r="Q292" s="16" t="n">
        <f aca="false">$N292*MAX(0,(MIN($G292,DATE(2026,7,31))-MAX($E292,DATE(2026,7,1))+1))/$O292</f>
        <v>0</v>
      </c>
      <c r="R292" s="16" t="n">
        <f aca="false">$N292*MAX(0,(MIN($G292,DATE(2026,8,31))-MAX($E292,DATE(2026,8,1))+1))/$O292</f>
        <v>0</v>
      </c>
      <c r="S292" s="16" t="n">
        <f aca="false">$N292*MAX(0,(MIN($G292,DATE(2026,9,30))-MAX($E292,DATE(2026,9,1))+1))/$O292</f>
        <v>23316.6666666667</v>
      </c>
      <c r="T292" s="16" t="n">
        <f aca="false">$N292*MAX(0,(MIN($G292,DATE(2026,10,31))-MAX($E292,DATE(2026,10,1))+1))/$O292</f>
        <v>11658.3333333333</v>
      </c>
      <c r="U292" s="16" t="n">
        <f aca="false">$N292*MAX(0,(MIN($G292,DATE(2026,11,30))-MAX($E292,DATE(2026,11,1))+1))/$O292</f>
        <v>0</v>
      </c>
      <c r="V292" s="16" t="n">
        <f aca="false">$N292*MAX(0,(MIN($G292,DATE(2026,12,31))-MAX($E292,DATE(2026,12,1))+1))/$O292</f>
        <v>0</v>
      </c>
      <c r="W292" s="17" t="n">
        <f aca="false">$H292*MAX(0,(MIN($G292,DATE(2026,7,31))-MAX($E292,DATE(2026,7,1))+1))/30.4</f>
        <v>0</v>
      </c>
      <c r="X292" s="17" t="n">
        <f aca="false">$H292*MAX(0,(MIN($G292,DATE(2026,8,31))-MAX($E292,DATE(2026,8,1))+1))/30.4</f>
        <v>0</v>
      </c>
      <c r="Y292" s="17" t="n">
        <f aca="false">$H292*MAX(0,(MIN($G292,DATE(2026,9,30))-MAX($E292,DATE(2026,9,1))+1))/30.4</f>
        <v>0.394736842105263</v>
      </c>
      <c r="Z292" s="17" t="n">
        <f aca="false">$H292*MAX(0,(MIN($G292,DATE(2026,10,31))-MAX($E292,DATE(2026,10,1))+1))/30.4</f>
        <v>0.197368421052632</v>
      </c>
      <c r="AA292" s="17" t="n">
        <f aca="false">$H292*MAX(0,(MIN($G292,DATE(2026,11,30))-MAX($E292,DATE(2026,11,1))+1))/30.4</f>
        <v>0</v>
      </c>
      <c r="AB292" s="17" t="n">
        <f aca="false">$H292*MAX(0,(MIN($G292,DATE(2026,12,31))-MAX($E292,DATE(2026,12,1))+1))/30.4</f>
        <v>0</v>
      </c>
    </row>
    <row r="293" customFormat="false" ht="15" hidden="false" customHeight="false" outlineLevel="0" collapsed="false">
      <c r="A293" s="10" t="n">
        <v>196</v>
      </c>
      <c r="B293" s="10" t="n">
        <v>3</v>
      </c>
      <c r="C293" s="10"/>
      <c r="D293" s="10" t="s">
        <v>45</v>
      </c>
      <c r="E293" s="12" t="n">
        <v>46272</v>
      </c>
      <c r="F293" s="10" t="n">
        <v>5</v>
      </c>
      <c r="G293" s="12" t="n">
        <v>46307</v>
      </c>
      <c r="H293" s="13" t="n">
        <v>1</v>
      </c>
      <c r="I293" s="10" t="s">
        <v>113</v>
      </c>
      <c r="J293" s="14" t="str">
        <f aca="false">IFERROR(VLOOKUP(D293,Role_Mapping!$A$5:$D$31,2,FALSE()),"UNMAPPED")</f>
        <v>Associate Consultant</v>
      </c>
      <c r="K293" s="14" t="str">
        <f aca="false">IFERROR(VLOOKUP(D293,Role_Mapping!$A$5:$D$31,3,FALSE()),"IN")</f>
        <v>IN</v>
      </c>
      <c r="L293" s="15" t="n">
        <f aca="false">IFERROR(SUMPRODUCT((Rate_Card!$A$5:$A$34=J293)*(Rate_Card!$B$5:$B$34=K293)*Rate_Card!$C$5:$C$34),0)</f>
        <v>585</v>
      </c>
      <c r="M293" s="10" t="n">
        <f aca="false">F293*5</f>
        <v>25</v>
      </c>
      <c r="N293" s="16" t="n">
        <f aca="false">L293*M293*H293</f>
        <v>14625</v>
      </c>
      <c r="O293" s="10" t="n">
        <f aca="false">(G293-E293)+1</f>
        <v>36</v>
      </c>
      <c r="P293" s="14" t="str">
        <f aca="false">IFERROR(VLOOKUP(D293,Role_Mapping!$A$5:$D$31,4,FALSE()),"UNMAPPED")</f>
        <v>Consulting</v>
      </c>
      <c r="Q293" s="16" t="n">
        <f aca="false">$N293*MAX(0,(MIN($G293,DATE(2026,7,31))-MAX($E293,DATE(2026,7,1))+1))/$O293</f>
        <v>0</v>
      </c>
      <c r="R293" s="16" t="n">
        <f aca="false">$N293*MAX(0,(MIN($G293,DATE(2026,8,31))-MAX($E293,DATE(2026,8,1))+1))/$O293</f>
        <v>0</v>
      </c>
      <c r="S293" s="16" t="n">
        <f aca="false">$N293*MAX(0,(MIN($G293,DATE(2026,9,30))-MAX($E293,DATE(2026,9,1))+1))/$O293</f>
        <v>9750</v>
      </c>
      <c r="T293" s="16" t="n">
        <f aca="false">$N293*MAX(0,(MIN($G293,DATE(2026,10,31))-MAX($E293,DATE(2026,10,1))+1))/$O293</f>
        <v>4875</v>
      </c>
      <c r="U293" s="16" t="n">
        <f aca="false">$N293*MAX(0,(MIN($G293,DATE(2026,11,30))-MAX($E293,DATE(2026,11,1))+1))/$O293</f>
        <v>0</v>
      </c>
      <c r="V293" s="16" t="n">
        <f aca="false">$N293*MAX(0,(MIN($G293,DATE(2026,12,31))-MAX($E293,DATE(2026,12,1))+1))/$O293</f>
        <v>0</v>
      </c>
      <c r="W293" s="17" t="n">
        <f aca="false">$H293*MAX(0,(MIN($G293,DATE(2026,7,31))-MAX($E293,DATE(2026,7,1))+1))/30.4</f>
        <v>0</v>
      </c>
      <c r="X293" s="17" t="n">
        <f aca="false">$H293*MAX(0,(MIN($G293,DATE(2026,8,31))-MAX($E293,DATE(2026,8,1))+1))/30.4</f>
        <v>0</v>
      </c>
      <c r="Y293" s="17" t="n">
        <f aca="false">$H293*MAX(0,(MIN($G293,DATE(2026,9,30))-MAX($E293,DATE(2026,9,1))+1))/30.4</f>
        <v>0.789473684210526</v>
      </c>
      <c r="Z293" s="17" t="n">
        <f aca="false">$H293*MAX(0,(MIN($G293,DATE(2026,10,31))-MAX($E293,DATE(2026,10,1))+1))/30.4</f>
        <v>0.394736842105263</v>
      </c>
      <c r="AA293" s="17" t="n">
        <f aca="false">$H293*MAX(0,(MIN($G293,DATE(2026,11,30))-MAX($E293,DATE(2026,11,1))+1))/30.4</f>
        <v>0</v>
      </c>
      <c r="AB293" s="17" t="n">
        <f aca="false">$H293*MAX(0,(MIN($G293,DATE(2026,12,31))-MAX($E293,DATE(2026,12,1))+1))/30.4</f>
        <v>0</v>
      </c>
    </row>
    <row r="294" customFormat="false" ht="15" hidden="false" customHeight="false" outlineLevel="0" collapsed="false">
      <c r="A294" s="10" t="n">
        <v>197</v>
      </c>
      <c r="B294" s="10" t="n">
        <v>3</v>
      </c>
      <c r="C294" s="10"/>
      <c r="D294" s="10" t="s">
        <v>64</v>
      </c>
      <c r="E294" s="12" t="n">
        <v>46272</v>
      </c>
      <c r="F294" s="10" t="n">
        <v>5</v>
      </c>
      <c r="G294" s="12" t="n">
        <v>46307</v>
      </c>
      <c r="H294" s="13" t="n">
        <v>0.25</v>
      </c>
      <c r="I294" s="10" t="s">
        <v>113</v>
      </c>
      <c r="J294" s="14" t="str">
        <f aca="false">IFERROR(VLOOKUP(D294,Role_Mapping!$A$5:$D$31,2,FALSE()),"UNMAPPED")</f>
        <v>Principal Technology Architect</v>
      </c>
      <c r="K294" s="14" t="str">
        <f aca="false">IFERROR(VLOOKUP(D294,Role_Mapping!$A$5:$D$31,3,FALSE()),"IN")</f>
        <v>IN</v>
      </c>
      <c r="L294" s="15" t="n">
        <f aca="false">IFERROR(SUMPRODUCT((Rate_Card!$A$5:$A$34=J294)*(Rate_Card!$B$5:$B$34=K294)*Rate_Card!$C$5:$C$34),0)</f>
        <v>845</v>
      </c>
      <c r="M294" s="10" t="n">
        <f aca="false">F294*5</f>
        <v>25</v>
      </c>
      <c r="N294" s="16" t="n">
        <f aca="false">L294*M294*H294</f>
        <v>5281.25</v>
      </c>
      <c r="O294" s="10" t="n">
        <f aca="false">(G294-E294)+1</f>
        <v>36</v>
      </c>
      <c r="P294" s="14" t="str">
        <f aca="false">IFERROR(VLOOKUP(D294,Role_Mapping!$A$5:$D$31,4,FALSE()),"UNMAPPED")</f>
        <v>Full Stack</v>
      </c>
      <c r="Q294" s="16" t="n">
        <f aca="false">$N294*MAX(0,(MIN($G294,DATE(2026,7,31))-MAX($E294,DATE(2026,7,1))+1))/$O294</f>
        <v>0</v>
      </c>
      <c r="R294" s="16" t="n">
        <f aca="false">$N294*MAX(0,(MIN($G294,DATE(2026,8,31))-MAX($E294,DATE(2026,8,1))+1))/$O294</f>
        <v>0</v>
      </c>
      <c r="S294" s="16" t="n">
        <f aca="false">$N294*MAX(0,(MIN($G294,DATE(2026,9,30))-MAX($E294,DATE(2026,9,1))+1))/$O294</f>
        <v>3520.83333333333</v>
      </c>
      <c r="T294" s="16" t="n">
        <f aca="false">$N294*MAX(0,(MIN($G294,DATE(2026,10,31))-MAX($E294,DATE(2026,10,1))+1))/$O294</f>
        <v>1760.41666666667</v>
      </c>
      <c r="U294" s="16" t="n">
        <f aca="false">$N294*MAX(0,(MIN($G294,DATE(2026,11,30))-MAX($E294,DATE(2026,11,1))+1))/$O294</f>
        <v>0</v>
      </c>
      <c r="V294" s="16" t="n">
        <f aca="false">$N294*MAX(0,(MIN($G294,DATE(2026,12,31))-MAX($E294,DATE(2026,12,1))+1))/$O294</f>
        <v>0</v>
      </c>
      <c r="W294" s="17" t="n">
        <f aca="false">$H294*MAX(0,(MIN($G294,DATE(2026,7,31))-MAX($E294,DATE(2026,7,1))+1))/30.4</f>
        <v>0</v>
      </c>
      <c r="X294" s="17" t="n">
        <f aca="false">$H294*MAX(0,(MIN($G294,DATE(2026,8,31))-MAX($E294,DATE(2026,8,1))+1))/30.4</f>
        <v>0</v>
      </c>
      <c r="Y294" s="17" t="n">
        <f aca="false">$H294*MAX(0,(MIN($G294,DATE(2026,9,30))-MAX($E294,DATE(2026,9,1))+1))/30.4</f>
        <v>0.197368421052632</v>
      </c>
      <c r="Z294" s="17" t="n">
        <f aca="false">$H294*MAX(0,(MIN($G294,DATE(2026,10,31))-MAX($E294,DATE(2026,10,1))+1))/30.4</f>
        <v>0.0986842105263158</v>
      </c>
      <c r="AA294" s="17" t="n">
        <f aca="false">$H294*MAX(0,(MIN($G294,DATE(2026,11,30))-MAX($E294,DATE(2026,11,1))+1))/30.4</f>
        <v>0</v>
      </c>
      <c r="AB294" s="17" t="n">
        <f aca="false">$H294*MAX(0,(MIN($G294,DATE(2026,12,31))-MAX($E294,DATE(2026,12,1))+1))/30.4</f>
        <v>0</v>
      </c>
    </row>
    <row r="295" customFormat="false" ht="15" hidden="false" customHeight="false" outlineLevel="0" collapsed="false">
      <c r="A295" s="10" t="n">
        <v>198</v>
      </c>
      <c r="B295" s="10" t="n">
        <v>3</v>
      </c>
      <c r="C295" s="10"/>
      <c r="D295" s="10" t="s">
        <v>80</v>
      </c>
      <c r="E295" s="12" t="n">
        <v>46272</v>
      </c>
      <c r="F295" s="10" t="n">
        <v>5</v>
      </c>
      <c r="G295" s="12" t="n">
        <v>46307</v>
      </c>
      <c r="H295" s="13" t="n">
        <v>1</v>
      </c>
      <c r="I295" s="10" t="s">
        <v>113</v>
      </c>
      <c r="J295" s="14" t="str">
        <f aca="false">IFERROR(VLOOKUP(D295,Role_Mapping!$A$5:$D$31,2,FALSE()),"UNMAPPED")</f>
        <v>Solutions Consultant</v>
      </c>
      <c r="K295" s="14" t="str">
        <f aca="false">IFERROR(VLOOKUP(D295,Role_Mapping!$A$5:$D$31,3,FALSE()),"IN")</f>
        <v>IN</v>
      </c>
      <c r="L295" s="15" t="n">
        <f aca="false">IFERROR(SUMPRODUCT((Rate_Card!$A$5:$A$34=J295)*(Rate_Card!$B$5:$B$34=K295)*Rate_Card!$C$5:$C$34),0)</f>
        <v>683</v>
      </c>
      <c r="M295" s="10" t="n">
        <f aca="false">F295*5</f>
        <v>25</v>
      </c>
      <c r="N295" s="16" t="n">
        <f aca="false">L295*M295*H295</f>
        <v>17075</v>
      </c>
      <c r="O295" s="10" t="n">
        <f aca="false">(G295-E295)+1</f>
        <v>36</v>
      </c>
      <c r="P295" s="14" t="str">
        <f aca="false">IFERROR(VLOOKUP(D295,Role_Mapping!$A$5:$D$31,4,FALSE()),"UNMAPPED")</f>
        <v>Power BI &amp; Consulting</v>
      </c>
      <c r="Q295" s="16" t="n">
        <f aca="false">$N295*MAX(0,(MIN($G295,DATE(2026,7,31))-MAX($E295,DATE(2026,7,1))+1))/$O295</f>
        <v>0</v>
      </c>
      <c r="R295" s="16" t="n">
        <f aca="false">$N295*MAX(0,(MIN($G295,DATE(2026,8,31))-MAX($E295,DATE(2026,8,1))+1))/$O295</f>
        <v>0</v>
      </c>
      <c r="S295" s="16" t="n">
        <f aca="false">$N295*MAX(0,(MIN($G295,DATE(2026,9,30))-MAX($E295,DATE(2026,9,1))+1))/$O295</f>
        <v>11383.3333333333</v>
      </c>
      <c r="T295" s="16" t="n">
        <f aca="false">$N295*MAX(0,(MIN($G295,DATE(2026,10,31))-MAX($E295,DATE(2026,10,1))+1))/$O295</f>
        <v>5691.66666666667</v>
      </c>
      <c r="U295" s="16" t="n">
        <f aca="false">$N295*MAX(0,(MIN($G295,DATE(2026,11,30))-MAX($E295,DATE(2026,11,1))+1))/$O295</f>
        <v>0</v>
      </c>
      <c r="V295" s="16" t="n">
        <f aca="false">$N295*MAX(0,(MIN($G295,DATE(2026,12,31))-MAX($E295,DATE(2026,12,1))+1))/$O295</f>
        <v>0</v>
      </c>
      <c r="W295" s="17" t="n">
        <f aca="false">$H295*MAX(0,(MIN($G295,DATE(2026,7,31))-MAX($E295,DATE(2026,7,1))+1))/30.4</f>
        <v>0</v>
      </c>
      <c r="X295" s="17" t="n">
        <f aca="false">$H295*MAX(0,(MIN($G295,DATE(2026,8,31))-MAX($E295,DATE(2026,8,1))+1))/30.4</f>
        <v>0</v>
      </c>
      <c r="Y295" s="17" t="n">
        <f aca="false">$H295*MAX(0,(MIN($G295,DATE(2026,9,30))-MAX($E295,DATE(2026,9,1))+1))/30.4</f>
        <v>0.789473684210526</v>
      </c>
      <c r="Z295" s="17" t="n">
        <f aca="false">$H295*MAX(0,(MIN($G295,DATE(2026,10,31))-MAX($E295,DATE(2026,10,1))+1))/30.4</f>
        <v>0.394736842105263</v>
      </c>
      <c r="AA295" s="17" t="n">
        <f aca="false">$H295*MAX(0,(MIN($G295,DATE(2026,11,30))-MAX($E295,DATE(2026,11,1))+1))/30.4</f>
        <v>0</v>
      </c>
      <c r="AB295" s="17" t="n">
        <f aca="false">$H295*MAX(0,(MIN($G295,DATE(2026,12,31))-MAX($E295,DATE(2026,12,1))+1))/30.4</f>
        <v>0</v>
      </c>
    </row>
    <row r="296" customFormat="false" ht="15" hidden="false" customHeight="false" outlineLevel="0" collapsed="false">
      <c r="A296" s="10" t="n">
        <v>199</v>
      </c>
      <c r="B296" s="10" t="n">
        <v>3</v>
      </c>
      <c r="C296" s="10"/>
      <c r="D296" s="10" t="s">
        <v>76</v>
      </c>
      <c r="E296" s="12" t="n">
        <v>46272</v>
      </c>
      <c r="F296" s="10" t="n">
        <v>5</v>
      </c>
      <c r="G296" s="12" t="n">
        <v>46307</v>
      </c>
      <c r="H296" s="13" t="n">
        <v>1</v>
      </c>
      <c r="I296" s="10" t="s">
        <v>113</v>
      </c>
      <c r="J296" s="14" t="str">
        <f aca="false">IFERROR(VLOOKUP(D296,Role_Mapping!$A$5:$D$31,2,FALSE()),"UNMAPPED")</f>
        <v>Senior Software Engineer</v>
      </c>
      <c r="K296" s="14" t="str">
        <f aca="false">IFERROR(VLOOKUP(D296,Role_Mapping!$A$5:$D$31,3,FALSE()),"IN")</f>
        <v>IN</v>
      </c>
      <c r="L296" s="15" t="n">
        <f aca="false">IFERROR(SUMPRODUCT((Rate_Card!$A$5:$A$34=J296)*(Rate_Card!$B$5:$B$34=K296)*Rate_Card!$C$5:$C$34),0)</f>
        <v>585</v>
      </c>
      <c r="M296" s="10" t="n">
        <f aca="false">F296*5</f>
        <v>25</v>
      </c>
      <c r="N296" s="16" t="n">
        <f aca="false">L296*M296*H296</f>
        <v>14625</v>
      </c>
      <c r="O296" s="10" t="n">
        <f aca="false">(G296-E296)+1</f>
        <v>36</v>
      </c>
      <c r="P296" s="14" t="str">
        <f aca="false">IFERROR(VLOOKUP(D296,Role_Mapping!$A$5:$D$31,4,FALSE()),"UNMAPPED")</f>
        <v>Full Stack</v>
      </c>
      <c r="Q296" s="16" t="n">
        <f aca="false">$N296*MAX(0,(MIN($G296,DATE(2026,7,31))-MAX($E296,DATE(2026,7,1))+1))/$O296</f>
        <v>0</v>
      </c>
      <c r="R296" s="16" t="n">
        <f aca="false">$N296*MAX(0,(MIN($G296,DATE(2026,8,31))-MAX($E296,DATE(2026,8,1))+1))/$O296</f>
        <v>0</v>
      </c>
      <c r="S296" s="16" t="n">
        <f aca="false">$N296*MAX(0,(MIN($G296,DATE(2026,9,30))-MAX($E296,DATE(2026,9,1))+1))/$O296</f>
        <v>9750</v>
      </c>
      <c r="T296" s="16" t="n">
        <f aca="false">$N296*MAX(0,(MIN($G296,DATE(2026,10,31))-MAX($E296,DATE(2026,10,1))+1))/$O296</f>
        <v>4875</v>
      </c>
      <c r="U296" s="16" t="n">
        <f aca="false">$N296*MAX(0,(MIN($G296,DATE(2026,11,30))-MAX($E296,DATE(2026,11,1))+1))/$O296</f>
        <v>0</v>
      </c>
      <c r="V296" s="16" t="n">
        <f aca="false">$N296*MAX(0,(MIN($G296,DATE(2026,12,31))-MAX($E296,DATE(2026,12,1))+1))/$O296</f>
        <v>0</v>
      </c>
      <c r="W296" s="17" t="n">
        <f aca="false">$H296*MAX(0,(MIN($G296,DATE(2026,7,31))-MAX($E296,DATE(2026,7,1))+1))/30.4</f>
        <v>0</v>
      </c>
      <c r="X296" s="17" t="n">
        <f aca="false">$H296*MAX(0,(MIN($G296,DATE(2026,8,31))-MAX($E296,DATE(2026,8,1))+1))/30.4</f>
        <v>0</v>
      </c>
      <c r="Y296" s="17" t="n">
        <f aca="false">$H296*MAX(0,(MIN($G296,DATE(2026,9,30))-MAX($E296,DATE(2026,9,1))+1))/30.4</f>
        <v>0.789473684210526</v>
      </c>
      <c r="Z296" s="17" t="n">
        <f aca="false">$H296*MAX(0,(MIN($G296,DATE(2026,10,31))-MAX($E296,DATE(2026,10,1))+1))/30.4</f>
        <v>0.394736842105263</v>
      </c>
      <c r="AA296" s="17" t="n">
        <f aca="false">$H296*MAX(0,(MIN($G296,DATE(2026,11,30))-MAX($E296,DATE(2026,11,1))+1))/30.4</f>
        <v>0</v>
      </c>
      <c r="AB296" s="17" t="n">
        <f aca="false">$H296*MAX(0,(MIN($G296,DATE(2026,12,31))-MAX($E296,DATE(2026,12,1))+1))/30.4</f>
        <v>0</v>
      </c>
    </row>
    <row r="297" customFormat="false" ht="15" hidden="false" customHeight="false" outlineLevel="0" collapsed="false">
      <c r="A297" s="10" t="n">
        <v>200</v>
      </c>
      <c r="B297" s="10" t="n">
        <v>3</v>
      </c>
      <c r="C297" s="10"/>
      <c r="D297" s="10" t="s">
        <v>76</v>
      </c>
      <c r="E297" s="12" t="n">
        <v>46272</v>
      </c>
      <c r="F297" s="10" t="n">
        <v>5</v>
      </c>
      <c r="G297" s="12" t="n">
        <v>46307</v>
      </c>
      <c r="H297" s="13" t="n">
        <v>1</v>
      </c>
      <c r="I297" s="10" t="s">
        <v>113</v>
      </c>
      <c r="J297" s="14" t="str">
        <f aca="false">IFERROR(VLOOKUP(D297,Role_Mapping!$A$5:$D$31,2,FALSE()),"UNMAPPED")</f>
        <v>Senior Software Engineer</v>
      </c>
      <c r="K297" s="14" t="str">
        <f aca="false">IFERROR(VLOOKUP(D297,Role_Mapping!$A$5:$D$31,3,FALSE()),"IN")</f>
        <v>IN</v>
      </c>
      <c r="L297" s="15" t="n">
        <f aca="false">IFERROR(SUMPRODUCT((Rate_Card!$A$5:$A$34=J297)*(Rate_Card!$B$5:$B$34=K297)*Rate_Card!$C$5:$C$34),0)</f>
        <v>585</v>
      </c>
      <c r="M297" s="10" t="n">
        <f aca="false">F297*5</f>
        <v>25</v>
      </c>
      <c r="N297" s="16" t="n">
        <f aca="false">L297*M297*H297</f>
        <v>14625</v>
      </c>
      <c r="O297" s="10" t="n">
        <f aca="false">(G297-E297)+1</f>
        <v>36</v>
      </c>
      <c r="P297" s="14" t="str">
        <f aca="false">IFERROR(VLOOKUP(D297,Role_Mapping!$A$5:$D$31,4,FALSE()),"UNMAPPED")</f>
        <v>Full Stack</v>
      </c>
      <c r="Q297" s="16" t="n">
        <f aca="false">$N297*MAX(0,(MIN($G297,DATE(2026,7,31))-MAX($E297,DATE(2026,7,1))+1))/$O297</f>
        <v>0</v>
      </c>
      <c r="R297" s="16" t="n">
        <f aca="false">$N297*MAX(0,(MIN($G297,DATE(2026,8,31))-MAX($E297,DATE(2026,8,1))+1))/$O297</f>
        <v>0</v>
      </c>
      <c r="S297" s="16" t="n">
        <f aca="false">$N297*MAX(0,(MIN($G297,DATE(2026,9,30))-MAX($E297,DATE(2026,9,1))+1))/$O297</f>
        <v>9750</v>
      </c>
      <c r="T297" s="16" t="n">
        <f aca="false">$N297*MAX(0,(MIN($G297,DATE(2026,10,31))-MAX($E297,DATE(2026,10,1))+1))/$O297</f>
        <v>4875</v>
      </c>
      <c r="U297" s="16" t="n">
        <f aca="false">$N297*MAX(0,(MIN($G297,DATE(2026,11,30))-MAX($E297,DATE(2026,11,1))+1))/$O297</f>
        <v>0</v>
      </c>
      <c r="V297" s="16" t="n">
        <f aca="false">$N297*MAX(0,(MIN($G297,DATE(2026,12,31))-MAX($E297,DATE(2026,12,1))+1))/$O297</f>
        <v>0</v>
      </c>
      <c r="W297" s="17" t="n">
        <f aca="false">$H297*MAX(0,(MIN($G297,DATE(2026,7,31))-MAX($E297,DATE(2026,7,1))+1))/30.4</f>
        <v>0</v>
      </c>
      <c r="X297" s="17" t="n">
        <f aca="false">$H297*MAX(0,(MIN($G297,DATE(2026,8,31))-MAX($E297,DATE(2026,8,1))+1))/30.4</f>
        <v>0</v>
      </c>
      <c r="Y297" s="17" t="n">
        <f aca="false">$H297*MAX(0,(MIN($G297,DATE(2026,9,30))-MAX($E297,DATE(2026,9,1))+1))/30.4</f>
        <v>0.789473684210526</v>
      </c>
      <c r="Z297" s="17" t="n">
        <f aca="false">$H297*MAX(0,(MIN($G297,DATE(2026,10,31))-MAX($E297,DATE(2026,10,1))+1))/30.4</f>
        <v>0.394736842105263</v>
      </c>
      <c r="AA297" s="17" t="n">
        <f aca="false">$H297*MAX(0,(MIN($G297,DATE(2026,11,30))-MAX($E297,DATE(2026,11,1))+1))/30.4</f>
        <v>0</v>
      </c>
      <c r="AB297" s="17" t="n">
        <f aca="false">$H297*MAX(0,(MIN($G297,DATE(2026,12,31))-MAX($E297,DATE(2026,12,1))+1))/30.4</f>
        <v>0</v>
      </c>
    </row>
    <row r="298" customFormat="false" ht="15" hidden="false" customHeight="false" outlineLevel="0" collapsed="false">
      <c r="M298" s="18" t="s">
        <v>172</v>
      </c>
      <c r="N298" s="19" t="n">
        <f aca="false">SUM(N5:N297)</f>
        <v>5430387.5</v>
      </c>
      <c r="Q298" s="19" t="n">
        <f aca="false">SUM(Q5:Q297)</f>
        <v>2295185.55876349</v>
      </c>
      <c r="R298" s="19" t="n">
        <f aca="false">SUM(R5:R297)</f>
        <v>1412898.04431043</v>
      </c>
      <c r="S298" s="19" t="n">
        <f aca="false">SUM(S5:S297)</f>
        <v>1004966.15376615</v>
      </c>
      <c r="T298" s="19" t="n">
        <f aca="false">SUM(T5:T297)</f>
        <v>290306.1804797</v>
      </c>
      <c r="U298" s="19" t="n">
        <f aca="false">SUM(U5:U297)</f>
        <v>83796.4851639771</v>
      </c>
      <c r="V298" s="19" t="n">
        <f aca="false">SUM(V5:V297)</f>
        <v>0</v>
      </c>
      <c r="W298" s="20" t="n">
        <f aca="false">SUM(W5:W297)</f>
        <v>119.128289473684</v>
      </c>
      <c r="X298" s="20" t="n">
        <f aca="false">SUM(X5:X297)</f>
        <v>72.4794407894737</v>
      </c>
      <c r="Y298" s="20" t="n">
        <f aca="false">SUM(Y5:Y297)</f>
        <v>52.3560855263158</v>
      </c>
      <c r="Z298" s="20" t="n">
        <f aca="false">SUM(Z5:Z297)</f>
        <v>15.4934210526316</v>
      </c>
      <c r="AA298" s="20" t="n">
        <f aca="false">SUM(AA5:AA297)</f>
        <v>4.375</v>
      </c>
      <c r="AB298" s="20" t="n">
        <f aca="false">SUM(AB5:AB297)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5" t="s">
        <v>173</v>
      </c>
    </row>
    <row r="2" customFormat="false" ht="15" hidden="false" customHeight="false" outlineLevel="0" collapsed="false">
      <c r="A2" s="6" t="s">
        <v>174</v>
      </c>
    </row>
    <row r="4" customFormat="false" ht="26.85" hidden="false" customHeight="false" outlineLevel="0" collapsed="false">
      <c r="A4" s="7" t="s">
        <v>175</v>
      </c>
      <c r="B4" s="7" t="s">
        <v>176</v>
      </c>
      <c r="C4" s="7" t="s">
        <v>177</v>
      </c>
      <c r="D4" s="7" t="s">
        <v>178</v>
      </c>
    </row>
    <row r="5" customFormat="false" ht="15" hidden="false" customHeight="false" outlineLevel="0" collapsed="false">
      <c r="A5" s="10" t="s">
        <v>179</v>
      </c>
      <c r="B5" s="10" t="n">
        <v>1</v>
      </c>
      <c r="C5" s="9" t="n">
        <v>3801000</v>
      </c>
      <c r="D5" s="21"/>
    </row>
    <row r="6" customFormat="false" ht="15" hidden="false" customHeight="false" outlineLevel="0" collapsed="false">
      <c r="A6" s="10" t="s">
        <v>180</v>
      </c>
      <c r="B6" s="10" t="n">
        <v>2</v>
      </c>
      <c r="C6" s="9" t="n">
        <v>4139000</v>
      </c>
      <c r="D6" s="21"/>
    </row>
    <row r="7" customFormat="false" ht="15" hidden="false" customHeight="false" outlineLevel="0" collapsed="false">
      <c r="A7" s="10" t="s">
        <v>181</v>
      </c>
      <c r="B7" s="10" t="n">
        <v>3</v>
      </c>
      <c r="C7" s="9" t="n">
        <v>4153000</v>
      </c>
      <c r="D7" s="21"/>
    </row>
    <row r="8" customFormat="false" ht="15" hidden="false" customHeight="false" outlineLevel="0" collapsed="false">
      <c r="A8" s="10" t="s">
        <v>182</v>
      </c>
      <c r="B8" s="10" t="n">
        <v>4</v>
      </c>
      <c r="C8" s="9" t="n">
        <v>4177000</v>
      </c>
      <c r="D8" s="21"/>
    </row>
    <row r="9" customFormat="false" ht="15" hidden="false" customHeight="false" outlineLevel="0" collapsed="false">
      <c r="A9" s="10" t="s">
        <v>183</v>
      </c>
      <c r="B9" s="10" t="n">
        <v>5</v>
      </c>
      <c r="C9" s="9" t="n">
        <v>4290000</v>
      </c>
      <c r="D9" s="21"/>
    </row>
    <row r="10" customFormat="false" ht="15" hidden="false" customHeight="false" outlineLevel="0" collapsed="false">
      <c r="A10" s="10" t="s">
        <v>184</v>
      </c>
      <c r="B10" s="10" t="n">
        <v>6</v>
      </c>
      <c r="C10" s="9" t="n">
        <v>4355000</v>
      </c>
      <c r="D10" s="21"/>
    </row>
    <row r="11" customFormat="false" ht="15" hidden="false" customHeight="false" outlineLevel="0" collapsed="false">
      <c r="A11" s="10" t="s">
        <v>185</v>
      </c>
      <c r="B11" s="10" t="n">
        <v>7</v>
      </c>
      <c r="C11" s="21"/>
      <c r="D11" s="22" t="n">
        <f aca="false">_xlfn.FORECAST.LINEAR(B11,$C$5:$C$10,$B$5:$B$10)</f>
        <v>4477200</v>
      </c>
    </row>
    <row r="12" customFormat="false" ht="15" hidden="false" customHeight="false" outlineLevel="0" collapsed="false">
      <c r="A12" s="10" t="s">
        <v>186</v>
      </c>
      <c r="B12" s="10" t="n">
        <v>8</v>
      </c>
      <c r="C12" s="21"/>
      <c r="D12" s="22" t="n">
        <f aca="false">_xlfn.FORECAST.LINEAR(B12,$C$5:$C$10,$B$5:$B$10)</f>
        <v>4569971.42857143</v>
      </c>
    </row>
    <row r="13" customFormat="false" ht="15" hidden="false" customHeight="false" outlineLevel="0" collapsed="false">
      <c r="A13" s="10" t="s">
        <v>187</v>
      </c>
      <c r="B13" s="10" t="n">
        <v>9</v>
      </c>
      <c r="C13" s="21"/>
      <c r="D13" s="22" t="n">
        <f aca="false">_xlfn.FORECAST.LINEAR(B13,$C$5:$C$10,$B$5:$B$10)</f>
        <v>4662742.85714286</v>
      </c>
    </row>
    <row r="14" customFormat="false" ht="15" hidden="false" customHeight="false" outlineLevel="0" collapsed="false">
      <c r="A14" s="10" t="s">
        <v>188</v>
      </c>
      <c r="B14" s="10" t="n">
        <v>10</v>
      </c>
      <c r="C14" s="21"/>
      <c r="D14" s="22" t="n">
        <f aca="false">_xlfn.FORECAST.LINEAR(B14,$C$5:$C$10,$B$5:$B$10)</f>
        <v>4755514.28571429</v>
      </c>
    </row>
    <row r="15" customFormat="false" ht="15" hidden="false" customHeight="false" outlineLevel="0" collapsed="false">
      <c r="A15" s="10" t="s">
        <v>189</v>
      </c>
      <c r="B15" s="10" t="n">
        <v>11</v>
      </c>
      <c r="C15" s="21"/>
      <c r="D15" s="22" t="n">
        <f aca="false">_xlfn.FORECAST.LINEAR(B15,$C$5:$C$10,$B$5:$B$10)</f>
        <v>4848285.71428572</v>
      </c>
    </row>
    <row r="16" customFormat="false" ht="15" hidden="false" customHeight="false" outlineLevel="0" collapsed="false">
      <c r="A16" s="10" t="s">
        <v>190</v>
      </c>
      <c r="B16" s="10" t="n">
        <v>12</v>
      </c>
      <c r="C16" s="21"/>
      <c r="D16" s="22" t="n">
        <f aca="false">_xlfn.FORECAST.LINEAR(B16,$C$5:$C$10,$B$5:$B$10)</f>
        <v>4941057.14285714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23" t="s">
        <v>191</v>
      </c>
    </row>
    <row r="2" customFormat="false" ht="15" hidden="false" customHeight="false" outlineLevel="0" collapsed="false">
      <c r="A2" s="6" t="s">
        <v>192</v>
      </c>
    </row>
    <row r="4" customFormat="false" ht="15" hidden="false" customHeight="false" outlineLevel="0" collapsed="false">
      <c r="A4" s="24" t="s">
        <v>193</v>
      </c>
    </row>
    <row r="5" customFormat="false" ht="15" hidden="false" customHeight="false" outlineLevel="0" collapsed="false">
      <c r="A5" s="7" t="s">
        <v>88</v>
      </c>
      <c r="B5" s="7" t="s">
        <v>185</v>
      </c>
      <c r="C5" s="7" t="s">
        <v>186</v>
      </c>
      <c r="D5" s="7" t="s">
        <v>187</v>
      </c>
      <c r="E5" s="7" t="s">
        <v>188</v>
      </c>
      <c r="F5" s="7" t="s">
        <v>189</v>
      </c>
      <c r="G5" s="7" t="s">
        <v>190</v>
      </c>
    </row>
    <row r="6" customFormat="false" ht="15" hidden="false" customHeight="false" outlineLevel="0" collapsed="false">
      <c r="A6" s="10" t="s">
        <v>194</v>
      </c>
      <c r="B6" s="15" t="n">
        <f aca="false">SUMIFS(Pipeline_Data!$Q$5:$Q$297,Pipeline_Data!$B$5:$B$297,1)</f>
        <v>516603.039990421</v>
      </c>
      <c r="C6" s="15" t="n">
        <f aca="false">SUMIFS(Pipeline_Data!$R$5:$R$297,Pipeline_Data!$B$5:$B$297,1)</f>
        <v>247146.062021073</v>
      </c>
      <c r="D6" s="15" t="n">
        <f aca="false">SUMIFS(Pipeline_Data!$S$5:$S$297,Pipeline_Data!$B$5:$B$297,1)</f>
        <v>82604.1666666667</v>
      </c>
      <c r="E6" s="15" t="n">
        <f aca="false">SUMIFS(Pipeline_Data!$T$5:$T$297,Pipeline_Data!$B$5:$B$297,1)</f>
        <v>13767.3611111111</v>
      </c>
      <c r="F6" s="15" t="n">
        <f aca="false">SUMIFS(Pipeline_Data!$U$5:$U$297,Pipeline_Data!$B$5:$B$297,1)</f>
        <v>0</v>
      </c>
      <c r="G6" s="15" t="n">
        <f aca="false">SUMIFS(Pipeline_Data!$V$5:$V$297,Pipeline_Data!$B$5:$B$297,1)</f>
        <v>0</v>
      </c>
    </row>
    <row r="7" customFormat="false" ht="15" hidden="false" customHeight="false" outlineLevel="0" collapsed="false">
      <c r="A7" s="10" t="s">
        <v>195</v>
      </c>
      <c r="B7" s="15" t="n">
        <f aca="false">SUMIFS(Pipeline_Data!$Q$5:$Q$297,Pipeline_Data!$B$5:$B$297,2)</f>
        <v>415677.070571711</v>
      </c>
      <c r="C7" s="15" t="n">
        <f aca="false">SUMIFS(Pipeline_Data!$R$5:$R$297,Pipeline_Data!$B$5:$B$297,2)</f>
        <v>280543.193424453</v>
      </c>
      <c r="D7" s="15" t="n">
        <f aca="false">SUMIFS(Pipeline_Data!$S$5:$S$297,Pipeline_Data!$B$5:$B$297,2)</f>
        <v>75233.7209302326</v>
      </c>
      <c r="E7" s="15" t="n">
        <f aca="false">SUMIFS(Pipeline_Data!$T$5:$T$297,Pipeline_Data!$B$5:$B$297,2)</f>
        <v>0</v>
      </c>
      <c r="F7" s="15" t="n">
        <f aca="false">SUMIFS(Pipeline_Data!$U$5:$U$297,Pipeline_Data!$B$5:$B$297,2)</f>
        <v>0</v>
      </c>
      <c r="G7" s="15" t="n">
        <f aca="false">SUMIFS(Pipeline_Data!$V$5:$V$297,Pipeline_Data!$B$5:$B$297,2)</f>
        <v>0</v>
      </c>
    </row>
    <row r="8" customFormat="false" ht="15" hidden="false" customHeight="false" outlineLevel="0" collapsed="false">
      <c r="A8" s="10" t="s">
        <v>196</v>
      </c>
      <c r="B8" s="15" t="n">
        <f aca="false">SUMIFS(Pipeline_Data!$Q$5:$Q$297,Pipeline_Data!$B$5:$B$297,3)</f>
        <v>625644.288186281</v>
      </c>
      <c r="C8" s="15" t="n">
        <f aca="false">SUMIFS(Pipeline_Data!$R$5:$R$297,Pipeline_Data!$B$5:$B$297,3)</f>
        <v>325529.108560635</v>
      </c>
      <c r="D8" s="15" t="n">
        <f aca="false">SUMIFS(Pipeline_Data!$S$5:$S$297,Pipeline_Data!$B$5:$B$297,3)</f>
        <v>309966.979168237</v>
      </c>
      <c r="E8" s="15" t="n">
        <f aca="false">SUMIFS(Pipeline_Data!$T$5:$T$297,Pipeline_Data!$B$5:$B$297,3)</f>
        <v>48311.75066313</v>
      </c>
      <c r="F8" s="15" t="n">
        <f aca="false">SUMIFS(Pipeline_Data!$U$5:$U$297,Pipeline_Data!$B$5:$B$297,3)</f>
        <v>0</v>
      </c>
      <c r="G8" s="15" t="n">
        <f aca="false">SUMIFS(Pipeline_Data!$V$5:$V$297,Pipeline_Data!$B$5:$B$297,3)</f>
        <v>0</v>
      </c>
    </row>
    <row r="9" customFormat="false" ht="15" hidden="false" customHeight="false" outlineLevel="0" collapsed="false">
      <c r="A9" s="10" t="s">
        <v>197</v>
      </c>
      <c r="B9" s="15" t="n">
        <f aca="false">SUMIFS(Pipeline_Data!$Q$5:$Q$297,Pipeline_Data!$B$5:$B$297,4)</f>
        <v>336604.228927203</v>
      </c>
      <c r="C9" s="15" t="n">
        <f aca="false">SUMIFS(Pipeline_Data!$R$5:$R$297,Pipeline_Data!$B$5:$B$297,4)</f>
        <v>114859.4348659</v>
      </c>
      <c r="D9" s="15" t="n">
        <f aca="false">SUMIFS(Pipeline_Data!$S$5:$S$297,Pipeline_Data!$B$5:$B$297,4)</f>
        <v>19553.8362068966</v>
      </c>
      <c r="E9" s="15" t="n">
        <f aca="false">SUMIFS(Pipeline_Data!$T$5:$T$297,Pipeline_Data!$B$5:$B$297,4)</f>
        <v>0</v>
      </c>
      <c r="F9" s="15" t="n">
        <f aca="false">SUMIFS(Pipeline_Data!$U$5:$U$297,Pipeline_Data!$B$5:$B$297,4)</f>
        <v>0</v>
      </c>
      <c r="G9" s="15" t="n">
        <f aca="false">SUMIFS(Pipeline_Data!$V$5:$V$297,Pipeline_Data!$B$5:$B$297,4)</f>
        <v>0</v>
      </c>
    </row>
    <row r="10" customFormat="false" ht="15" hidden="false" customHeight="false" outlineLevel="0" collapsed="false">
      <c r="A10" s="10" t="s">
        <v>198</v>
      </c>
      <c r="B10" s="15" t="n">
        <f aca="false">SUMIFS(Pipeline_Data!$Q$5:$Q$297,Pipeline_Data!$B$5:$B$297,5)</f>
        <v>400656.931087869</v>
      </c>
      <c r="C10" s="15" t="n">
        <f aca="false">SUMIFS(Pipeline_Data!$R$5:$R$297,Pipeline_Data!$B$5:$B$297,5)</f>
        <v>444820.245438373</v>
      </c>
      <c r="D10" s="15" t="n">
        <f aca="false">SUMIFS(Pipeline_Data!$S$5:$S$297,Pipeline_Data!$B$5:$B$297,5)</f>
        <v>517607.450794122</v>
      </c>
      <c r="E10" s="15" t="n">
        <f aca="false">SUMIFS(Pipeline_Data!$T$5:$T$297,Pipeline_Data!$B$5:$B$297,5)</f>
        <v>228227.068705459</v>
      </c>
      <c r="F10" s="15" t="n">
        <f aca="false">SUMIFS(Pipeline_Data!$U$5:$U$297,Pipeline_Data!$B$5:$B$297,5)</f>
        <v>83796.4851639771</v>
      </c>
      <c r="G10" s="15" t="n">
        <f aca="false">SUMIFS(Pipeline_Data!$V$5:$V$297,Pipeline_Data!$B$5:$B$297,5)</f>
        <v>0</v>
      </c>
    </row>
    <row r="11" customFormat="false" ht="15" hidden="false" customHeight="false" outlineLevel="0" collapsed="false">
      <c r="A11" s="18" t="s">
        <v>199</v>
      </c>
      <c r="B11" s="19" t="n">
        <f aca="false">SUM(B6:B10)</f>
        <v>2295185.55876349</v>
      </c>
      <c r="C11" s="19" t="n">
        <f aca="false">SUM(C6:C10)</f>
        <v>1412898.04431043</v>
      </c>
      <c r="D11" s="19" t="n">
        <f aca="false">SUM(D6:D10)</f>
        <v>1004966.15376615</v>
      </c>
      <c r="E11" s="19" t="n">
        <f aca="false">SUM(E6:E10)</f>
        <v>290306.1804797</v>
      </c>
      <c r="F11" s="19" t="n">
        <f aca="false">SUM(F6:F10)</f>
        <v>83796.4851639771</v>
      </c>
      <c r="G11" s="19" t="n">
        <f aca="false">SUM(G6:G10)</f>
        <v>0</v>
      </c>
    </row>
    <row r="13" customFormat="false" ht="15" hidden="false" customHeight="false" outlineLevel="0" collapsed="false">
      <c r="A13" s="24" t="s">
        <v>200</v>
      </c>
    </row>
    <row r="14" customFormat="false" ht="26.85" hidden="false" customHeight="false" outlineLevel="0" collapsed="false">
      <c r="A14" s="7" t="s">
        <v>88</v>
      </c>
      <c r="B14" s="7" t="s">
        <v>185</v>
      </c>
      <c r="C14" s="7" t="s">
        <v>186</v>
      </c>
      <c r="D14" s="7" t="s">
        <v>187</v>
      </c>
      <c r="E14" s="7" t="s">
        <v>188</v>
      </c>
      <c r="F14" s="7" t="s">
        <v>189</v>
      </c>
      <c r="G14" s="7" t="s">
        <v>190</v>
      </c>
      <c r="H14" s="7" t="s">
        <v>201</v>
      </c>
    </row>
    <row r="15" customFormat="false" ht="15" hidden="false" customHeight="false" outlineLevel="0" collapsed="false">
      <c r="A15" s="10" t="s">
        <v>194</v>
      </c>
      <c r="B15" s="13" t="n">
        <f aca="false">IF(B11&gt;0,B6/B11,$H15)</f>
        <v>0.225081165232121</v>
      </c>
      <c r="C15" s="13" t="n">
        <f aca="false">IF(C11&gt;0,C6/C11,$H15)</f>
        <v>0.174921370311396</v>
      </c>
      <c r="D15" s="13" t="n">
        <f aca="false">IF(D11&gt;0,D6/D11,$H15)</f>
        <v>0.0821959688464173</v>
      </c>
      <c r="E15" s="13" t="n">
        <f aca="false">IF(E11&gt;0,E6/E11,$H15)</f>
        <v>0.0474235894267287</v>
      </c>
      <c r="F15" s="13" t="n">
        <f aca="false">IF(F11&gt;0,F6/F11,$H15)</f>
        <v>0</v>
      </c>
      <c r="G15" s="13" t="n">
        <f aca="false">IF(G11&gt;0,G6/G11,$H15)</f>
        <v>0.169077031383567</v>
      </c>
      <c r="H15" s="13" t="n">
        <f aca="false">SUM(B6:G6)/SUM(B11:G11)</f>
        <v>0.169077031383567</v>
      </c>
    </row>
    <row r="16" customFormat="false" ht="15" hidden="false" customHeight="false" outlineLevel="0" collapsed="false">
      <c r="A16" s="10" t="s">
        <v>195</v>
      </c>
      <c r="B16" s="13" t="n">
        <f aca="false">IF(B11&gt;0,B7/B11,$H16)</f>
        <v>0.181108263331726</v>
      </c>
      <c r="C16" s="13" t="n">
        <f aca="false">IF(C11&gt;0,C7/C11,$H16)</f>
        <v>0.198558696116939</v>
      </c>
      <c r="D16" s="13" t="n">
        <f aca="false">IF(D11&gt;0,D7/D11,$H16)</f>
        <v>0.0748619450001285</v>
      </c>
      <c r="E16" s="13" t="n">
        <f aca="false">IF(E11&gt;0,E7/E11,$H16)</f>
        <v>0</v>
      </c>
      <c r="F16" s="13" t="n">
        <f aca="false">IF(F11&gt;0,F7/F11,$H16)</f>
        <v>0</v>
      </c>
      <c r="G16" s="13" t="n">
        <f aca="false">IF(G11&gt;0,G7/G11,$H16)</f>
        <v>0.151647507457569</v>
      </c>
      <c r="H16" s="13" t="n">
        <f aca="false">SUM(B7:G7)/SUM(B11:G11)</f>
        <v>0.151647507457569</v>
      </c>
    </row>
    <row r="17" customFormat="false" ht="15" hidden="false" customHeight="false" outlineLevel="0" collapsed="false">
      <c r="A17" s="10" t="s">
        <v>196</v>
      </c>
      <c r="B17" s="13" t="n">
        <f aca="false">IF(B11&gt;0,B8/B11,$H17)</f>
        <v>0.272589850436033</v>
      </c>
      <c r="C17" s="13" t="n">
        <f aca="false">IF(C11&gt;0,C8/C11,$H17)</f>
        <v>0.230398159210072</v>
      </c>
      <c r="D17" s="13" t="n">
        <f aca="false">IF(D11&gt;0,D8/D11,$H17)</f>
        <v>0.308435242327935</v>
      </c>
      <c r="E17" s="13" t="n">
        <f aca="false">IF(E11&gt;0,E8/E11,$H17)</f>
        <v>0.166416541953395</v>
      </c>
      <c r="F17" s="13" t="n">
        <f aca="false">IF(F11&gt;0,F8/F11,$H17)</f>
        <v>0</v>
      </c>
      <c r="G17" s="13" t="n">
        <f aca="false">IF(G11&gt;0,G8/G11,$H17)</f>
        <v>0.257403753186337</v>
      </c>
      <c r="H17" s="13" t="n">
        <f aca="false">SUM(B8:G8)/SUM(B11:G11)</f>
        <v>0.257403753186337</v>
      </c>
    </row>
    <row r="18" customFormat="false" ht="15" hidden="false" customHeight="false" outlineLevel="0" collapsed="false">
      <c r="A18" s="10" t="s">
        <v>197</v>
      </c>
      <c r="B18" s="13" t="n">
        <f aca="false">IF(B11&gt;0,B9/B11,$H18)</f>
        <v>0.146656651634104</v>
      </c>
      <c r="C18" s="13" t="n">
        <f aca="false">IF(C11&gt;0,C9/C11,$H18)</f>
        <v>0.0812935054503226</v>
      </c>
      <c r="D18" s="13" t="n">
        <f aca="false">IF(D11&gt;0,D9/D11,$H18)</f>
        <v>0.01945720871655</v>
      </c>
      <c r="E18" s="13" t="n">
        <f aca="false">IF(E11&gt;0,E9/E11,$H18)</f>
        <v>0</v>
      </c>
      <c r="F18" s="13" t="n">
        <f aca="false">IF(F11&gt;0,F9/F11,$H18)</f>
        <v>0</v>
      </c>
      <c r="G18" s="13" t="n">
        <f aca="false">IF(G11&gt;0,G9/G11,$H18)</f>
        <v>0.0925896180971968</v>
      </c>
      <c r="H18" s="13" t="n">
        <f aca="false">SUM(B9:G9)/SUM(B11:G11)</f>
        <v>0.0925896180971968</v>
      </c>
    </row>
    <row r="19" customFormat="false" ht="15" hidden="false" customHeight="false" outlineLevel="0" collapsed="false">
      <c r="A19" s="10" t="s">
        <v>198</v>
      </c>
      <c r="B19" s="13" t="n">
        <f aca="false">IF(B11&gt;0,B10/B11,$H19)</f>
        <v>0.174564069366017</v>
      </c>
      <c r="C19" s="13" t="n">
        <f aca="false">IF(C11&gt;0,C10/C11,$H19)</f>
        <v>0.31482826891127</v>
      </c>
      <c r="D19" s="13" t="n">
        <f aca="false">IF(D11&gt;0,D10/D11,$H19)</f>
        <v>0.515049635108969</v>
      </c>
      <c r="E19" s="13" t="n">
        <f aca="false">IF(E11&gt;0,E10/E11,$H19)</f>
        <v>0.786159868619876</v>
      </c>
      <c r="F19" s="13" t="n">
        <f aca="false">IF(F11&gt;0,F10/F11,$H19)</f>
        <v>1</v>
      </c>
      <c r="G19" s="13" t="n">
        <f aca="false">IF(G11&gt;0,G10/G11,$H19)</f>
        <v>0.329282089875331</v>
      </c>
      <c r="H19" s="13" t="n">
        <f aca="false">SUM(B10:G10)/SUM(B11:G11)</f>
        <v>0.329282089875331</v>
      </c>
    </row>
    <row r="21" customFormat="false" ht="15" hidden="false" customHeight="false" outlineLevel="0" collapsed="false">
      <c r="A21" s="24" t="s">
        <v>202</v>
      </c>
    </row>
    <row r="22" customFormat="false" ht="15" hidden="false" customHeight="false" outlineLevel="0" collapsed="false">
      <c r="A22" s="7"/>
      <c r="B22" s="7" t="s">
        <v>185</v>
      </c>
      <c r="C22" s="7" t="s">
        <v>186</v>
      </c>
      <c r="D22" s="7" t="s">
        <v>187</v>
      </c>
      <c r="E22" s="7" t="s">
        <v>188</v>
      </c>
      <c r="F22" s="7" t="s">
        <v>189</v>
      </c>
      <c r="G22" s="7" t="s">
        <v>190</v>
      </c>
    </row>
    <row r="23" customFormat="false" ht="15" hidden="false" customHeight="false" outlineLevel="0" collapsed="false">
      <c r="A23" s="25" t="s">
        <v>203</v>
      </c>
      <c r="B23" s="26" t="n">
        <f aca="false">Revenue_Trend!$D$11</f>
        <v>4477200</v>
      </c>
      <c r="C23" s="26" t="n">
        <f aca="false">Revenue_Trend!$D$12</f>
        <v>4569971.42857143</v>
      </c>
      <c r="D23" s="26" t="n">
        <f aca="false">Revenue_Trend!$D$13</f>
        <v>4662742.85714286</v>
      </c>
      <c r="E23" s="26" t="n">
        <f aca="false">Revenue_Trend!$D$14</f>
        <v>4755514.28571429</v>
      </c>
      <c r="F23" s="26" t="n">
        <f aca="false">Revenue_Trend!$D$15</f>
        <v>4848285.71428572</v>
      </c>
      <c r="G23" s="26" t="n">
        <f aca="false">Revenue_Trend!$D$16</f>
        <v>4941057.14285714</v>
      </c>
    </row>
    <row r="25" customFormat="false" ht="15" hidden="false" customHeight="false" outlineLevel="0" collapsed="false">
      <c r="A25" s="27" t="s">
        <v>204</v>
      </c>
    </row>
    <row r="26" customFormat="false" ht="26.85" hidden="false" customHeight="false" outlineLevel="0" collapsed="false">
      <c r="A26" s="7" t="s">
        <v>88</v>
      </c>
      <c r="B26" s="7" t="s">
        <v>185</v>
      </c>
      <c r="C26" s="7" t="s">
        <v>186</v>
      </c>
      <c r="D26" s="7" t="s">
        <v>187</v>
      </c>
      <c r="E26" s="7" t="s">
        <v>188</v>
      </c>
      <c r="F26" s="7" t="s">
        <v>189</v>
      </c>
      <c r="G26" s="7" t="s">
        <v>190</v>
      </c>
      <c r="H26" s="7" t="s">
        <v>205</v>
      </c>
    </row>
    <row r="27" customFormat="false" ht="15" hidden="false" customHeight="false" outlineLevel="0" collapsed="false">
      <c r="A27" s="25" t="s">
        <v>194</v>
      </c>
      <c r="B27" s="28" t="n">
        <f aca="false">B23*B15</f>
        <v>1007733.39297725</v>
      </c>
      <c r="C27" s="28" t="n">
        <f aca="false">C23*C15</f>
        <v>799385.664569642</v>
      </c>
      <c r="D27" s="28" t="n">
        <f aca="false">D23*D15</f>
        <v>383258.666624569</v>
      </c>
      <c r="E27" s="28" t="n">
        <f aca="false">E23*E15</f>
        <v>225523.556998657</v>
      </c>
      <c r="F27" s="28" t="n">
        <f aca="false">F23*F15</f>
        <v>0</v>
      </c>
      <c r="G27" s="28" t="n">
        <f aca="false">G23*G15</f>
        <v>835419.273610853</v>
      </c>
      <c r="H27" s="29" t="n">
        <f aca="false">SUM(B27:G27)</f>
        <v>3251320.55478097</v>
      </c>
    </row>
    <row r="28" customFormat="false" ht="15" hidden="false" customHeight="false" outlineLevel="0" collapsed="false">
      <c r="A28" s="25" t="s">
        <v>195</v>
      </c>
      <c r="B28" s="28" t="n">
        <f aca="false">B23*B16</f>
        <v>810857.916588802</v>
      </c>
      <c r="C28" s="28" t="n">
        <f aca="false">C23*C16</f>
        <v>907407.568148807</v>
      </c>
      <c r="D28" s="28" t="n">
        <f aca="false">D23*D16</f>
        <v>349061.999321171</v>
      </c>
      <c r="E28" s="28" t="n">
        <f aca="false">E23*E16</f>
        <v>0</v>
      </c>
      <c r="F28" s="28" t="n">
        <f aca="false">F23*F16</f>
        <v>0</v>
      </c>
      <c r="G28" s="28" t="n">
        <f aca="false">G23*G16</f>
        <v>749298.999919705</v>
      </c>
      <c r="H28" s="29" t="n">
        <f aca="false">SUM(B28:G28)</f>
        <v>2816626.48397848</v>
      </c>
    </row>
    <row r="29" customFormat="false" ht="15" hidden="false" customHeight="false" outlineLevel="0" collapsed="false">
      <c r="A29" s="25" t="s">
        <v>196</v>
      </c>
      <c r="B29" s="28" t="n">
        <f aca="false">B23*B17</f>
        <v>1220439.27837221</v>
      </c>
      <c r="C29" s="28" t="n">
        <f aca="false">C23*C17</f>
        <v>1052913.00478548</v>
      </c>
      <c r="D29" s="28" t="n">
        <f aca="false">D23*D17</f>
        <v>1438154.22305571</v>
      </c>
      <c r="E29" s="28" t="n">
        <f aca="false">E23*E17</f>
        <v>791396.242638542</v>
      </c>
      <c r="F29" s="28" t="n">
        <f aca="false">F23*F17</f>
        <v>0</v>
      </c>
      <c r="G29" s="28" t="n">
        <f aca="false">G23*G17</f>
        <v>1271846.65327959</v>
      </c>
      <c r="H29" s="29" t="n">
        <f aca="false">SUM(B29:G29)</f>
        <v>5774749.40213152</v>
      </c>
    </row>
    <row r="30" customFormat="false" ht="15" hidden="false" customHeight="false" outlineLevel="0" collapsed="false">
      <c r="A30" s="25" t="s">
        <v>197</v>
      </c>
      <c r="B30" s="28" t="n">
        <f aca="false">B23*B18</f>
        <v>656611.160696211</v>
      </c>
      <c r="C30" s="28" t="n">
        <f aca="false">C23*C18</f>
        <v>371508.99723639</v>
      </c>
      <c r="D30" s="28" t="n">
        <f aca="false">D23*D18</f>
        <v>90723.9609630313</v>
      </c>
      <c r="E30" s="28" t="n">
        <f aca="false">E23*E18</f>
        <v>0</v>
      </c>
      <c r="F30" s="28" t="n">
        <f aca="false">F23*F18</f>
        <v>0</v>
      </c>
      <c r="G30" s="28" t="n">
        <f aca="false">G23*G18</f>
        <v>457490.593853569</v>
      </c>
      <c r="H30" s="29" t="n">
        <f aca="false">SUM(B30:G30)</f>
        <v>1576334.7127492</v>
      </c>
    </row>
    <row r="31" customFormat="false" ht="15" hidden="false" customHeight="false" outlineLevel="0" collapsed="false">
      <c r="A31" s="25" t="s">
        <v>198</v>
      </c>
      <c r="B31" s="28" t="n">
        <f aca="false">B23*B19</f>
        <v>781558.25136553</v>
      </c>
      <c r="C31" s="28" t="n">
        <f aca="false">C23*C19</f>
        <v>1438756.19383111</v>
      </c>
      <c r="D31" s="28" t="n">
        <f aca="false">D23*D19</f>
        <v>2401544.00717838</v>
      </c>
      <c r="E31" s="28" t="n">
        <f aca="false">E23*E19</f>
        <v>3738594.48607709</v>
      </c>
      <c r="F31" s="28" t="n">
        <f aca="false">F23*F19</f>
        <v>4848285.71428572</v>
      </c>
      <c r="G31" s="28" t="n">
        <f aca="false">G23*G19</f>
        <v>1627001.62219343</v>
      </c>
      <c r="H31" s="29" t="n">
        <f aca="false">SUM(B31:G31)</f>
        <v>14835740.2749312</v>
      </c>
    </row>
    <row r="32" customFormat="false" ht="15" hidden="false" customHeight="false" outlineLevel="0" collapsed="false">
      <c r="A32" s="18" t="s">
        <v>206</v>
      </c>
      <c r="B32" s="29" t="n">
        <f aca="false">SUM(B27:B31)</f>
        <v>4477200</v>
      </c>
      <c r="C32" s="29" t="n">
        <f aca="false">SUM(C27:C31)</f>
        <v>4569971.42857143</v>
      </c>
      <c r="D32" s="29" t="n">
        <f aca="false">SUM(D27:D31)</f>
        <v>4662742.85714286</v>
      </c>
      <c r="E32" s="29" t="n">
        <f aca="false">SUM(E27:E31)</f>
        <v>4755514.28571429</v>
      </c>
      <c r="F32" s="29" t="n">
        <f aca="false">SUM(F27:F31)</f>
        <v>4848285.71428572</v>
      </c>
      <c r="G32" s="29" t="n">
        <f aca="false">SUM(G27:G31)</f>
        <v>4941057.14285714</v>
      </c>
      <c r="H32" s="29" t="n">
        <f aca="false">SUM(H27:H31)</f>
        <v>28254771.4285714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23" t="s">
        <v>207</v>
      </c>
    </row>
    <row r="2" customFormat="false" ht="15" hidden="false" customHeight="false" outlineLevel="0" collapsed="false">
      <c r="A2" s="6" t="s">
        <v>208</v>
      </c>
    </row>
    <row r="4" customFormat="false" ht="15" hidden="false" customHeight="false" outlineLevel="0" collapsed="false">
      <c r="A4" s="24" t="s">
        <v>209</v>
      </c>
    </row>
    <row r="5" customFormat="false" ht="39.55" hidden="false" customHeight="false" outlineLevel="0" collapsed="false">
      <c r="A5" s="7" t="s">
        <v>210</v>
      </c>
      <c r="B5" s="7" t="s">
        <v>211</v>
      </c>
    </row>
    <row r="6" customFormat="false" ht="15" hidden="false" customHeight="false" outlineLevel="0" collapsed="false">
      <c r="A6" s="10" t="s">
        <v>59</v>
      </c>
      <c r="B6" s="8" t="n">
        <v>91</v>
      </c>
    </row>
    <row r="7" customFormat="false" ht="15" hidden="false" customHeight="false" outlineLevel="0" collapsed="false">
      <c r="A7" s="10" t="s">
        <v>212</v>
      </c>
      <c r="B7" s="8" t="n">
        <v>65</v>
      </c>
    </row>
    <row r="8" customFormat="false" ht="15" hidden="false" customHeight="false" outlineLevel="0" collapsed="false">
      <c r="A8" s="10" t="s">
        <v>83</v>
      </c>
      <c r="B8" s="8" t="n">
        <v>54</v>
      </c>
    </row>
    <row r="9" customFormat="false" ht="15" hidden="false" customHeight="false" outlineLevel="0" collapsed="false">
      <c r="A9" s="10" t="s">
        <v>65</v>
      </c>
      <c r="B9" s="8" t="n">
        <v>32</v>
      </c>
    </row>
    <row r="10" customFormat="false" ht="15" hidden="false" customHeight="false" outlineLevel="0" collapsed="false">
      <c r="A10" s="10" t="s">
        <v>79</v>
      </c>
      <c r="B10" s="8" t="n">
        <v>40</v>
      </c>
    </row>
    <row r="11" customFormat="false" ht="15" hidden="false" customHeight="false" outlineLevel="0" collapsed="false">
      <c r="A11" s="10" t="s">
        <v>46</v>
      </c>
      <c r="B11" s="8" t="n">
        <v>3</v>
      </c>
    </row>
    <row r="12" customFormat="false" ht="15" hidden="false" customHeight="false" outlineLevel="0" collapsed="false">
      <c r="A12" s="10" t="s">
        <v>50</v>
      </c>
      <c r="B12" s="8" t="n">
        <v>1</v>
      </c>
    </row>
    <row r="14" customFormat="false" ht="15" hidden="false" customHeight="false" outlineLevel="0" collapsed="false">
      <c r="A14" s="24" t="s">
        <v>213</v>
      </c>
    </row>
    <row r="15" customFormat="false" ht="15" hidden="false" customHeight="false" outlineLevel="0" collapsed="false">
      <c r="A15" s="7" t="s">
        <v>210</v>
      </c>
      <c r="B15" s="7" t="s">
        <v>185</v>
      </c>
      <c r="C15" s="7" t="s">
        <v>186</v>
      </c>
      <c r="D15" s="7" t="s">
        <v>187</v>
      </c>
      <c r="E15" s="7" t="s">
        <v>188</v>
      </c>
      <c r="F15" s="7" t="s">
        <v>189</v>
      </c>
      <c r="G15" s="7" t="s">
        <v>190</v>
      </c>
    </row>
    <row r="16" customFormat="false" ht="15" hidden="false" customHeight="false" outlineLevel="0" collapsed="false">
      <c r="A16" s="10" t="s">
        <v>59</v>
      </c>
      <c r="B16" s="8" t="n">
        <v>90</v>
      </c>
      <c r="C16" s="8" t="n">
        <v>90</v>
      </c>
      <c r="D16" s="8" t="n">
        <v>90</v>
      </c>
      <c r="E16" s="8" t="n">
        <v>90</v>
      </c>
      <c r="F16" s="8" t="n">
        <v>90</v>
      </c>
      <c r="G16" s="8" t="n">
        <v>90</v>
      </c>
    </row>
    <row r="17" customFormat="false" ht="15" hidden="false" customHeight="false" outlineLevel="0" collapsed="false">
      <c r="A17" s="10" t="s">
        <v>212</v>
      </c>
      <c r="B17" s="8" t="n">
        <v>65</v>
      </c>
      <c r="C17" s="8" t="n">
        <v>65</v>
      </c>
      <c r="D17" s="8" t="n">
        <v>65</v>
      </c>
      <c r="E17" s="8" t="n">
        <v>65</v>
      </c>
      <c r="F17" s="8" t="n">
        <v>65</v>
      </c>
      <c r="G17" s="8" t="n">
        <v>65</v>
      </c>
    </row>
    <row r="18" customFormat="false" ht="15" hidden="false" customHeight="false" outlineLevel="0" collapsed="false">
      <c r="A18" s="10" t="s">
        <v>83</v>
      </c>
      <c r="B18" s="8" t="n">
        <v>54</v>
      </c>
      <c r="C18" s="8" t="n">
        <v>54</v>
      </c>
      <c r="D18" s="8" t="n">
        <v>54</v>
      </c>
      <c r="E18" s="8" t="n">
        <v>54</v>
      </c>
      <c r="F18" s="8" t="n">
        <v>54</v>
      </c>
      <c r="G18" s="8" t="n">
        <v>54</v>
      </c>
    </row>
    <row r="19" customFormat="false" ht="15" hidden="false" customHeight="false" outlineLevel="0" collapsed="false">
      <c r="A19" s="10" t="s">
        <v>65</v>
      </c>
      <c r="B19" s="8" t="n">
        <v>32</v>
      </c>
      <c r="C19" s="8" t="n">
        <v>32</v>
      </c>
      <c r="D19" s="8" t="n">
        <v>32</v>
      </c>
      <c r="E19" s="8" t="n">
        <v>32</v>
      </c>
      <c r="F19" s="8" t="n">
        <v>32</v>
      </c>
      <c r="G19" s="8" t="n">
        <v>32</v>
      </c>
    </row>
    <row r="20" customFormat="false" ht="15" hidden="false" customHeight="false" outlineLevel="0" collapsed="false">
      <c r="A20" s="10" t="s">
        <v>79</v>
      </c>
      <c r="B20" s="8" t="n">
        <v>40</v>
      </c>
      <c r="C20" s="8" t="n">
        <v>40</v>
      </c>
      <c r="D20" s="8" t="n">
        <v>40</v>
      </c>
      <c r="E20" s="8" t="n">
        <v>40</v>
      </c>
      <c r="F20" s="8" t="n">
        <v>40</v>
      </c>
      <c r="G20" s="8" t="n">
        <v>40</v>
      </c>
    </row>
    <row r="21" customFormat="false" ht="15" hidden="false" customHeight="false" outlineLevel="0" collapsed="false">
      <c r="A21" s="10" t="s">
        <v>46</v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  <c r="G21" s="8" t="n">
        <v>3</v>
      </c>
    </row>
    <row r="22" customFormat="false" ht="15" hidden="false" customHeight="false" outlineLevel="0" collapsed="false">
      <c r="A22" s="10" t="s">
        <v>50</v>
      </c>
      <c r="B22" s="8" t="n">
        <v>1</v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</row>
    <row r="24" customFormat="false" ht="15" hidden="false" customHeight="false" outlineLevel="0" collapsed="false">
      <c r="A24" s="24" t="s">
        <v>214</v>
      </c>
    </row>
    <row r="25" customFormat="false" ht="15" hidden="false" customHeight="false" outlineLevel="0" collapsed="false">
      <c r="A25" s="7" t="s">
        <v>210</v>
      </c>
      <c r="B25" s="7" t="s">
        <v>185</v>
      </c>
      <c r="C25" s="7" t="s">
        <v>186</v>
      </c>
      <c r="D25" s="7" t="s">
        <v>187</v>
      </c>
      <c r="E25" s="7" t="s">
        <v>188</v>
      </c>
      <c r="F25" s="7" t="s">
        <v>189</v>
      </c>
      <c r="G25" s="7" t="s">
        <v>190</v>
      </c>
    </row>
    <row r="26" customFormat="false" ht="15" hidden="false" customHeight="false" outlineLevel="0" collapsed="false">
      <c r="A26" s="10" t="s">
        <v>59</v>
      </c>
      <c r="B26" s="10" t="n">
        <f aca="false">$B6-B16</f>
        <v>1</v>
      </c>
      <c r="C26" s="10" t="n">
        <f aca="false">$B6-C16</f>
        <v>1</v>
      </c>
      <c r="D26" s="10" t="n">
        <f aca="false">$B6-D16</f>
        <v>1</v>
      </c>
      <c r="E26" s="10" t="n">
        <f aca="false">$B6-E16</f>
        <v>1</v>
      </c>
      <c r="F26" s="10" t="n">
        <f aca="false">$B6-F16</f>
        <v>1</v>
      </c>
      <c r="G26" s="10" t="n">
        <f aca="false">$B6-G16</f>
        <v>1</v>
      </c>
    </row>
    <row r="27" customFormat="false" ht="15" hidden="false" customHeight="false" outlineLevel="0" collapsed="false">
      <c r="A27" s="10" t="s">
        <v>212</v>
      </c>
      <c r="B27" s="10" t="n">
        <f aca="false">$B7-B17</f>
        <v>0</v>
      </c>
      <c r="C27" s="10" t="n">
        <f aca="false">$B7-C17</f>
        <v>0</v>
      </c>
      <c r="D27" s="10" t="n">
        <f aca="false">$B7-D17</f>
        <v>0</v>
      </c>
      <c r="E27" s="10" t="n">
        <f aca="false">$B7-E17</f>
        <v>0</v>
      </c>
      <c r="F27" s="10" t="n">
        <f aca="false">$B7-F17</f>
        <v>0</v>
      </c>
      <c r="G27" s="10" t="n">
        <f aca="false">$B7-G17</f>
        <v>0</v>
      </c>
    </row>
    <row r="28" customFormat="false" ht="15" hidden="false" customHeight="false" outlineLevel="0" collapsed="false">
      <c r="A28" s="10" t="s">
        <v>83</v>
      </c>
      <c r="B28" s="10" t="n">
        <f aca="false">$B8-B18</f>
        <v>0</v>
      </c>
      <c r="C28" s="10" t="n">
        <f aca="false">$B8-C18</f>
        <v>0</v>
      </c>
      <c r="D28" s="10" t="n">
        <f aca="false">$B8-D18</f>
        <v>0</v>
      </c>
      <c r="E28" s="10" t="n">
        <f aca="false">$B8-E18</f>
        <v>0</v>
      </c>
      <c r="F28" s="10" t="n">
        <f aca="false">$B8-F18</f>
        <v>0</v>
      </c>
      <c r="G28" s="10" t="n">
        <f aca="false">$B8-G18</f>
        <v>0</v>
      </c>
    </row>
    <row r="29" customFormat="false" ht="15" hidden="false" customHeight="false" outlineLevel="0" collapsed="false">
      <c r="A29" s="10" t="s">
        <v>65</v>
      </c>
      <c r="B29" s="10" t="n">
        <f aca="false">$B9-B19</f>
        <v>0</v>
      </c>
      <c r="C29" s="10" t="n">
        <f aca="false">$B9-C19</f>
        <v>0</v>
      </c>
      <c r="D29" s="10" t="n">
        <f aca="false">$B9-D19</f>
        <v>0</v>
      </c>
      <c r="E29" s="10" t="n">
        <f aca="false">$B9-E19</f>
        <v>0</v>
      </c>
      <c r="F29" s="10" t="n">
        <f aca="false">$B9-F19</f>
        <v>0</v>
      </c>
      <c r="G29" s="10" t="n">
        <f aca="false">$B9-G19</f>
        <v>0</v>
      </c>
    </row>
    <row r="30" customFormat="false" ht="15" hidden="false" customHeight="false" outlineLevel="0" collapsed="false">
      <c r="A30" s="10" t="s">
        <v>79</v>
      </c>
      <c r="B30" s="10" t="n">
        <f aca="false">$B10-B20</f>
        <v>0</v>
      </c>
      <c r="C30" s="10" t="n">
        <f aca="false">$B10-C20</f>
        <v>0</v>
      </c>
      <c r="D30" s="10" t="n">
        <f aca="false">$B10-D20</f>
        <v>0</v>
      </c>
      <c r="E30" s="10" t="n">
        <f aca="false">$B10-E20</f>
        <v>0</v>
      </c>
      <c r="F30" s="10" t="n">
        <f aca="false">$B10-F20</f>
        <v>0</v>
      </c>
      <c r="G30" s="10" t="n">
        <f aca="false">$B10-G20</f>
        <v>0</v>
      </c>
    </row>
    <row r="31" customFormat="false" ht="15" hidden="false" customHeight="false" outlineLevel="0" collapsed="false">
      <c r="A31" s="10" t="s">
        <v>46</v>
      </c>
      <c r="B31" s="10" t="n">
        <f aca="false">$B11-B21</f>
        <v>0</v>
      </c>
      <c r="C31" s="10" t="n">
        <f aca="false">$B11-C21</f>
        <v>0</v>
      </c>
      <c r="D31" s="10" t="n">
        <f aca="false">$B11-D21</f>
        <v>0</v>
      </c>
      <c r="E31" s="10" t="n">
        <f aca="false">$B11-E21</f>
        <v>0</v>
      </c>
      <c r="F31" s="10" t="n">
        <f aca="false">$B11-F21</f>
        <v>0</v>
      </c>
      <c r="G31" s="10" t="n">
        <f aca="false">$B11-G21</f>
        <v>0</v>
      </c>
    </row>
    <row r="32" customFormat="false" ht="15" hidden="false" customHeight="false" outlineLevel="0" collapsed="false">
      <c r="A32" s="10" t="s">
        <v>50</v>
      </c>
      <c r="B32" s="10" t="n">
        <f aca="false">$B12-B22</f>
        <v>0</v>
      </c>
      <c r="C32" s="10" t="n">
        <f aca="false">$B12-C22</f>
        <v>0</v>
      </c>
      <c r="D32" s="10" t="n">
        <f aca="false">$B12-D22</f>
        <v>0</v>
      </c>
      <c r="E32" s="10" t="n">
        <f aca="false">$B12-E22</f>
        <v>0</v>
      </c>
      <c r="F32" s="10" t="n">
        <f aca="false">$B12-F22</f>
        <v>0</v>
      </c>
      <c r="G32" s="10" t="n">
        <f aca="false">$B12-G22</f>
        <v>0</v>
      </c>
    </row>
    <row r="34" customFormat="false" ht="15" hidden="false" customHeight="false" outlineLevel="0" collapsed="false">
      <c r="A34" s="24" t="s">
        <v>215</v>
      </c>
    </row>
    <row r="35" customFormat="false" ht="15" hidden="false" customHeight="false" outlineLevel="0" collapsed="false">
      <c r="A35" s="7" t="s">
        <v>210</v>
      </c>
      <c r="B35" s="7" t="s">
        <v>185</v>
      </c>
      <c r="C35" s="7" t="s">
        <v>186</v>
      </c>
      <c r="D35" s="7" t="s">
        <v>187</v>
      </c>
      <c r="E35" s="7" t="s">
        <v>188</v>
      </c>
      <c r="F35" s="7" t="s">
        <v>189</v>
      </c>
      <c r="G35" s="7" t="s">
        <v>190</v>
      </c>
    </row>
    <row r="36" customFormat="false" ht="15" hidden="false" customHeight="false" outlineLevel="0" collapsed="false">
      <c r="A36" s="10" t="s">
        <v>59</v>
      </c>
      <c r="B36" s="30" t="n">
        <f aca="false">SUMIFS(Pipeline_Data!$W$5:$W$297,Pipeline_Data!$P$5:$P$297,$A36)</f>
        <v>12.4300986842105</v>
      </c>
      <c r="C36" s="30" t="n">
        <f aca="false">SUMIFS(Pipeline_Data!$X$5:$X$297,Pipeline_Data!$P$5:$P$297,$A36)</f>
        <v>9.66694078947369</v>
      </c>
      <c r="D36" s="30" t="n">
        <f aca="false">SUMIFS(Pipeline_Data!$Y$5:$Y$297,Pipeline_Data!$P$5:$P$297,$A36)</f>
        <v>5.78947368421053</v>
      </c>
      <c r="E36" s="30" t="n">
        <f aca="false">SUMIFS(Pipeline_Data!$Z$5:$Z$297,Pipeline_Data!$P$5:$P$297,$A36)</f>
        <v>2.36842105263158</v>
      </c>
      <c r="F36" s="30" t="n">
        <f aca="false">SUMIFS(Pipeline_Data!$AA$5:$AA$297,Pipeline_Data!$P$5:$P$297,$A36)</f>
        <v>0.822368421052632</v>
      </c>
      <c r="G36" s="30" t="n">
        <f aca="false">SUMIFS(Pipeline_Data!$AB$5:$AB$297,Pipeline_Data!$P$5:$P$297,$A36)</f>
        <v>0</v>
      </c>
    </row>
    <row r="37" customFormat="false" ht="15" hidden="false" customHeight="false" outlineLevel="0" collapsed="false">
      <c r="A37" s="10" t="s">
        <v>212</v>
      </c>
      <c r="B37" s="30" t="n">
        <f aca="false">SUMIFS(Pipeline_Data!$W$5:$W$297,Pipeline_Data!$P$5:$P$297,$A37)</f>
        <v>0</v>
      </c>
      <c r="C37" s="30" t="n">
        <f aca="false">SUMIFS(Pipeline_Data!$X$5:$X$297,Pipeline_Data!$P$5:$P$297,$A37)</f>
        <v>0</v>
      </c>
      <c r="D37" s="30" t="n">
        <f aca="false">SUMIFS(Pipeline_Data!$Y$5:$Y$297,Pipeline_Data!$P$5:$P$297,$A37)</f>
        <v>0</v>
      </c>
      <c r="E37" s="30" t="n">
        <f aca="false">SUMIFS(Pipeline_Data!$Z$5:$Z$297,Pipeline_Data!$P$5:$P$297,$A37)</f>
        <v>0</v>
      </c>
      <c r="F37" s="30" t="n">
        <f aca="false">SUMIFS(Pipeline_Data!$AA$5:$AA$297,Pipeline_Data!$P$5:$P$297,$A37)</f>
        <v>0</v>
      </c>
      <c r="G37" s="30" t="n">
        <f aca="false">SUMIFS(Pipeline_Data!$AB$5:$AB$297,Pipeline_Data!$P$5:$P$297,$A37)</f>
        <v>0</v>
      </c>
    </row>
    <row r="38" customFormat="false" ht="15" hidden="false" customHeight="false" outlineLevel="0" collapsed="false">
      <c r="A38" s="10" t="s">
        <v>83</v>
      </c>
      <c r="B38" s="30" t="n">
        <f aca="false">SUMIFS(Pipeline_Data!$W$5:$W$297,Pipeline_Data!$P$5:$P$297,$A38)</f>
        <v>0.127467105263158</v>
      </c>
      <c r="C38" s="30" t="n">
        <f aca="false">SUMIFS(Pipeline_Data!$X$5:$X$297,Pipeline_Data!$P$5:$P$297,$A38)</f>
        <v>0.0123355263157895</v>
      </c>
      <c r="D38" s="30" t="n">
        <f aca="false">SUMIFS(Pipeline_Data!$Y$5:$Y$297,Pipeline_Data!$P$5:$P$297,$A38)</f>
        <v>0</v>
      </c>
      <c r="E38" s="30" t="n">
        <f aca="false">SUMIFS(Pipeline_Data!$Z$5:$Z$297,Pipeline_Data!$P$5:$P$297,$A38)</f>
        <v>0</v>
      </c>
      <c r="F38" s="30" t="n">
        <f aca="false">SUMIFS(Pipeline_Data!$AA$5:$AA$297,Pipeline_Data!$P$5:$P$297,$A38)</f>
        <v>0</v>
      </c>
      <c r="G38" s="30" t="n">
        <f aca="false">SUMIFS(Pipeline_Data!$AB$5:$AB$297,Pipeline_Data!$P$5:$P$297,$A38)</f>
        <v>0</v>
      </c>
    </row>
    <row r="39" customFormat="false" ht="15" hidden="false" customHeight="false" outlineLevel="0" collapsed="false">
      <c r="A39" s="10" t="s">
        <v>65</v>
      </c>
      <c r="B39" s="30" t="n">
        <f aca="false">SUMIFS(Pipeline_Data!$W$5:$W$297,Pipeline_Data!$P$5:$P$297,$A39)</f>
        <v>50.5098684210526</v>
      </c>
      <c r="C39" s="30" t="n">
        <f aca="false">SUMIFS(Pipeline_Data!$X$5:$X$297,Pipeline_Data!$P$5:$P$297,$A39)</f>
        <v>28.889802631579</v>
      </c>
      <c r="D39" s="30" t="n">
        <f aca="false">SUMIFS(Pipeline_Data!$Y$5:$Y$297,Pipeline_Data!$P$5:$P$297,$A39)</f>
        <v>21.2993421052632</v>
      </c>
      <c r="E39" s="30" t="n">
        <f aca="false">SUMIFS(Pipeline_Data!$Z$5:$Z$297,Pipeline_Data!$P$5:$P$297,$A39)</f>
        <v>6.27467105263158</v>
      </c>
      <c r="F39" s="30" t="n">
        <f aca="false">SUMIFS(Pipeline_Data!$AA$5:$AA$297,Pipeline_Data!$P$5:$P$297,$A39)</f>
        <v>1.85032894736842</v>
      </c>
      <c r="G39" s="30" t="n">
        <f aca="false">SUMIFS(Pipeline_Data!$AB$5:$AB$297,Pipeline_Data!$P$5:$P$297,$A39)</f>
        <v>0</v>
      </c>
    </row>
    <row r="40" customFormat="false" ht="15" hidden="false" customHeight="false" outlineLevel="0" collapsed="false">
      <c r="A40" s="10" t="s">
        <v>79</v>
      </c>
      <c r="B40" s="30" t="n">
        <f aca="false">SUMIFS(Pipeline_Data!$W$5:$W$297,Pipeline_Data!$P$5:$P$297,$A40)</f>
        <v>13.0633223684211</v>
      </c>
      <c r="C40" s="30" t="n">
        <f aca="false">SUMIFS(Pipeline_Data!$X$5:$X$297,Pipeline_Data!$P$5:$P$297,$A40)</f>
        <v>7.52467105263158</v>
      </c>
      <c r="D40" s="30" t="n">
        <f aca="false">SUMIFS(Pipeline_Data!$Y$5:$Y$297,Pipeline_Data!$P$5:$P$297,$A40)</f>
        <v>7.52055921052632</v>
      </c>
      <c r="E40" s="30" t="n">
        <f aca="false">SUMIFS(Pipeline_Data!$Z$5:$Z$297,Pipeline_Data!$P$5:$P$297,$A40)</f>
        <v>2.54934210526316</v>
      </c>
      <c r="F40" s="30" t="n">
        <f aca="false">SUMIFS(Pipeline_Data!$AA$5:$AA$297,Pipeline_Data!$P$5:$P$297,$A40)</f>
        <v>0.411184210526316</v>
      </c>
      <c r="G40" s="30" t="n">
        <f aca="false">SUMIFS(Pipeline_Data!$AB$5:$AB$297,Pipeline_Data!$P$5:$P$297,$A40)</f>
        <v>0</v>
      </c>
    </row>
    <row r="41" customFormat="false" ht="15" hidden="false" customHeight="false" outlineLevel="0" collapsed="false">
      <c r="A41" s="10" t="s">
        <v>46</v>
      </c>
      <c r="B41" s="30" t="n">
        <f aca="false">SUMIFS(Pipeline_Data!$W$5:$W$297,Pipeline_Data!$P$5:$P$297,$A41)</f>
        <v>39.3338815789474</v>
      </c>
      <c r="C41" s="30" t="n">
        <f aca="false">SUMIFS(Pipeline_Data!$X$5:$X$297,Pipeline_Data!$P$5:$P$297,$A41)</f>
        <v>23.6019736842105</v>
      </c>
      <c r="D41" s="30" t="n">
        <f aca="false">SUMIFS(Pipeline_Data!$Y$5:$Y$297,Pipeline_Data!$P$5:$P$297,$A41)</f>
        <v>15.6373355263158</v>
      </c>
      <c r="E41" s="30" t="n">
        <f aca="false">SUMIFS(Pipeline_Data!$Z$5:$Z$297,Pipeline_Data!$P$5:$P$297,$A41)</f>
        <v>3.62664473684211</v>
      </c>
      <c r="F41" s="30" t="n">
        <f aca="false">SUMIFS(Pipeline_Data!$AA$5:$AA$297,Pipeline_Data!$P$5:$P$297,$A41)</f>
        <v>1.02796052631579</v>
      </c>
      <c r="G41" s="30" t="n">
        <f aca="false">SUMIFS(Pipeline_Data!$AB$5:$AB$297,Pipeline_Data!$P$5:$P$297,$A41)</f>
        <v>0</v>
      </c>
    </row>
    <row r="42" customFormat="false" ht="15" hidden="false" customHeight="false" outlineLevel="0" collapsed="false">
      <c r="A42" s="10" t="s">
        <v>50</v>
      </c>
      <c r="B42" s="30" t="n">
        <f aca="false">SUMIFS(Pipeline_Data!$W$5:$W$297,Pipeline_Data!$P$5:$P$297,$A42)</f>
        <v>3.66365131578947</v>
      </c>
      <c r="C42" s="30" t="n">
        <f aca="false">SUMIFS(Pipeline_Data!$X$5:$X$297,Pipeline_Data!$P$5:$P$297,$A42)</f>
        <v>2.78371710526316</v>
      </c>
      <c r="D42" s="30" t="n">
        <f aca="false">SUMIFS(Pipeline_Data!$Y$5:$Y$297,Pipeline_Data!$P$5:$P$297,$A42)</f>
        <v>2.109375</v>
      </c>
      <c r="E42" s="30" t="n">
        <f aca="false">SUMIFS(Pipeline_Data!$Z$5:$Z$297,Pipeline_Data!$P$5:$P$297,$A42)</f>
        <v>0.674342105263158</v>
      </c>
      <c r="F42" s="30" t="n">
        <f aca="false">SUMIFS(Pipeline_Data!$AA$5:$AA$297,Pipeline_Data!$P$5:$P$297,$A42)</f>
        <v>0.263157894736842</v>
      </c>
      <c r="G42" s="30" t="n">
        <f aca="false">SUMIFS(Pipeline_Data!$AB$5:$AB$297,Pipeline_Data!$P$5:$P$297,$A42)</f>
        <v>0</v>
      </c>
    </row>
    <row r="44" customFormat="false" ht="15" hidden="false" customHeight="false" outlineLevel="0" collapsed="false">
      <c r="A44" s="27" t="s">
        <v>216</v>
      </c>
    </row>
    <row r="45" customFormat="false" ht="15" hidden="false" customHeight="false" outlineLevel="0" collapsed="false">
      <c r="A45" s="7" t="s">
        <v>210</v>
      </c>
      <c r="B45" s="7" t="s">
        <v>185</v>
      </c>
      <c r="C45" s="7" t="s">
        <v>186</v>
      </c>
      <c r="D45" s="7" t="s">
        <v>187</v>
      </c>
      <c r="E45" s="7" t="s">
        <v>188</v>
      </c>
      <c r="F45" s="7" t="s">
        <v>189</v>
      </c>
      <c r="G45" s="7" t="s">
        <v>190</v>
      </c>
    </row>
    <row r="46" customFormat="false" ht="15" hidden="false" customHeight="false" outlineLevel="0" collapsed="false">
      <c r="A46" s="25" t="s">
        <v>59</v>
      </c>
      <c r="B46" s="31" t="n">
        <f aca="false">B26-B36</f>
        <v>-11.4300986842105</v>
      </c>
      <c r="C46" s="31" t="n">
        <f aca="false">C26-C36</f>
        <v>-8.66694078947369</v>
      </c>
      <c r="D46" s="31" t="n">
        <f aca="false">D26-D36</f>
        <v>-4.78947368421053</v>
      </c>
      <c r="E46" s="31" t="n">
        <f aca="false">E26-E36</f>
        <v>-1.36842105263158</v>
      </c>
      <c r="F46" s="31" t="n">
        <f aca="false">F26-F36</f>
        <v>0.177631578947368</v>
      </c>
      <c r="G46" s="31" t="n">
        <f aca="false">G26-G36</f>
        <v>1</v>
      </c>
    </row>
    <row r="47" customFormat="false" ht="15" hidden="false" customHeight="false" outlineLevel="0" collapsed="false">
      <c r="A47" s="25" t="s">
        <v>212</v>
      </c>
      <c r="B47" s="31" t="n">
        <f aca="false">B27-B37</f>
        <v>0</v>
      </c>
      <c r="C47" s="31" t="n">
        <f aca="false">C27-C37</f>
        <v>0</v>
      </c>
      <c r="D47" s="31" t="n">
        <f aca="false">D27-D37</f>
        <v>0</v>
      </c>
      <c r="E47" s="31" t="n">
        <f aca="false">E27-E37</f>
        <v>0</v>
      </c>
      <c r="F47" s="31" t="n">
        <f aca="false">F27-F37</f>
        <v>0</v>
      </c>
      <c r="G47" s="31" t="n">
        <f aca="false">G27-G37</f>
        <v>0</v>
      </c>
    </row>
    <row r="48" customFormat="false" ht="15" hidden="false" customHeight="false" outlineLevel="0" collapsed="false">
      <c r="A48" s="25" t="s">
        <v>83</v>
      </c>
      <c r="B48" s="31" t="n">
        <f aca="false">B28-B38</f>
        <v>-0.127467105263158</v>
      </c>
      <c r="C48" s="31" t="n">
        <f aca="false">C28-C38</f>
        <v>-0.0123355263157895</v>
      </c>
      <c r="D48" s="31" t="n">
        <f aca="false">D28-D38</f>
        <v>0</v>
      </c>
      <c r="E48" s="31" t="n">
        <f aca="false">E28-E38</f>
        <v>0</v>
      </c>
      <c r="F48" s="31" t="n">
        <f aca="false">F28-F38</f>
        <v>0</v>
      </c>
      <c r="G48" s="31" t="n">
        <f aca="false">G28-G38</f>
        <v>0</v>
      </c>
    </row>
    <row r="49" customFormat="false" ht="15" hidden="false" customHeight="false" outlineLevel="0" collapsed="false">
      <c r="A49" s="25" t="s">
        <v>65</v>
      </c>
      <c r="B49" s="31" t="n">
        <f aca="false">B29-B39</f>
        <v>-50.5098684210526</v>
      </c>
      <c r="C49" s="31" t="n">
        <f aca="false">C29-C39</f>
        <v>-28.889802631579</v>
      </c>
      <c r="D49" s="31" t="n">
        <f aca="false">D29-D39</f>
        <v>-21.2993421052632</v>
      </c>
      <c r="E49" s="31" t="n">
        <f aca="false">E29-E39</f>
        <v>-6.27467105263158</v>
      </c>
      <c r="F49" s="31" t="n">
        <f aca="false">F29-F39</f>
        <v>-1.85032894736842</v>
      </c>
      <c r="G49" s="31" t="n">
        <f aca="false">G29-G39</f>
        <v>0</v>
      </c>
    </row>
    <row r="50" customFormat="false" ht="15" hidden="false" customHeight="false" outlineLevel="0" collapsed="false">
      <c r="A50" s="25" t="s">
        <v>79</v>
      </c>
      <c r="B50" s="31" t="n">
        <f aca="false">B30-B40</f>
        <v>-13.0633223684211</v>
      </c>
      <c r="C50" s="31" t="n">
        <f aca="false">C30-C40</f>
        <v>-7.52467105263158</v>
      </c>
      <c r="D50" s="31" t="n">
        <f aca="false">D30-D40</f>
        <v>-7.52055921052632</v>
      </c>
      <c r="E50" s="31" t="n">
        <f aca="false">E30-E40</f>
        <v>-2.54934210526316</v>
      </c>
      <c r="F50" s="31" t="n">
        <f aca="false">F30-F40</f>
        <v>-0.411184210526316</v>
      </c>
      <c r="G50" s="31" t="n">
        <f aca="false">G30-G40</f>
        <v>0</v>
      </c>
    </row>
    <row r="51" customFormat="false" ht="15" hidden="false" customHeight="false" outlineLevel="0" collapsed="false">
      <c r="A51" s="25" t="s">
        <v>46</v>
      </c>
      <c r="B51" s="31" t="n">
        <f aca="false">B31-B41</f>
        <v>-39.3338815789474</v>
      </c>
      <c r="C51" s="31" t="n">
        <f aca="false">C31-C41</f>
        <v>-23.6019736842105</v>
      </c>
      <c r="D51" s="31" t="n">
        <f aca="false">D31-D41</f>
        <v>-15.6373355263158</v>
      </c>
      <c r="E51" s="31" t="n">
        <f aca="false">E31-E41</f>
        <v>-3.62664473684211</v>
      </c>
      <c r="F51" s="31" t="n">
        <f aca="false">F31-F41</f>
        <v>-1.02796052631579</v>
      </c>
      <c r="G51" s="31" t="n">
        <f aca="false">G31-G41</f>
        <v>0</v>
      </c>
    </row>
    <row r="52" customFormat="false" ht="15" hidden="false" customHeight="false" outlineLevel="0" collapsed="false">
      <c r="A52" s="25" t="s">
        <v>50</v>
      </c>
      <c r="B52" s="31" t="n">
        <f aca="false">B32-B42</f>
        <v>-3.66365131578947</v>
      </c>
      <c r="C52" s="31" t="n">
        <f aca="false">C32-C42</f>
        <v>-2.78371710526316</v>
      </c>
      <c r="D52" s="31" t="n">
        <f aca="false">D32-D42</f>
        <v>-2.109375</v>
      </c>
      <c r="E52" s="31" t="n">
        <f aca="false">E32-E42</f>
        <v>-0.674342105263158</v>
      </c>
      <c r="F52" s="31" t="n">
        <f aca="false">F32-F42</f>
        <v>-0.263157894736842</v>
      </c>
      <c r="G52" s="31" t="n">
        <f aca="false">G32-G42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2026-07-02T05:43:05Z</dcterms:created>
  <dc:creator>openpyxl</dc:creator>
  <dc:description/>
  <dc:language>en-US</dc:language>
  <cp:lastModifiedBy/>
  <dcterms:modified xsi:type="dcterms:W3CDTF">2026-07-02T05:45:04Z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